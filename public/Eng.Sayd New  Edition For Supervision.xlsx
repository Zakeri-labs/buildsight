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erooz DG\Downloads\"/>
    </mc:Choice>
  </mc:AlternateContent>
  <xr:revisionPtr revIDLastSave="0" documentId="13_ncr:1_{A13E457E-98E2-4019-B71C-687D53B0357C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Invoices 2025" sheetId="2" state="hidden" r:id="rId1"/>
    <sheet name="Invoices 2024" sheetId="3" state="hidden" r:id="rId2"/>
    <sheet name="Projects list" sheetId="4" r:id="rId3"/>
    <sheet name="Mr.Rajesh Supervision Projects " sheetId="7" state="hidden" r:id="rId4"/>
  </sheets>
  <definedNames>
    <definedName name="_xlnm._FilterDatabase" localSheetId="3" hidden="1">'Mr.Rajesh Supervision Projects '!$A$1:$P$140</definedName>
    <definedName name="_xlnm._FilterDatabase" localSheetId="2" hidden="1">'Projects list'!$A$2:$N$233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4" l="1"/>
  <c r="D63" i="4"/>
  <c r="D62" i="4"/>
  <c r="D61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2" i="4"/>
  <c r="D19" i="4"/>
  <c r="D18" i="4"/>
  <c r="D11" i="4"/>
  <c r="D9" i="4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35" i="4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72" i="4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69" i="4"/>
  <c r="A67" i="4"/>
  <c r="A17" i="4"/>
  <c r="A15" i="4"/>
  <c r="A12" i="4"/>
  <c r="A13" i="4" s="1"/>
  <c r="F394" i="3"/>
  <c r="E394" i="3"/>
  <c r="G394" i="3" s="1"/>
  <c r="B363" i="3"/>
  <c r="F362" i="3"/>
  <c r="E356" i="3"/>
  <c r="B325" i="3"/>
  <c r="F324" i="3"/>
  <c r="F356" i="3" s="1"/>
  <c r="G356" i="3" s="1"/>
  <c r="E318" i="3"/>
  <c r="F314" i="3"/>
  <c r="F313" i="3"/>
  <c r="F312" i="3"/>
  <c r="F306" i="3"/>
  <c r="F305" i="3"/>
  <c r="F304" i="3"/>
  <c r="F300" i="3"/>
  <c r="F298" i="3"/>
  <c r="F296" i="3"/>
  <c r="F294" i="3"/>
  <c r="F292" i="3"/>
  <c r="F291" i="3"/>
  <c r="F290" i="3"/>
  <c r="F289" i="3"/>
  <c r="F318" i="3" s="1"/>
  <c r="G318" i="3" s="1"/>
  <c r="F283" i="3"/>
  <c r="E283" i="3"/>
  <c r="G283" i="3" s="1"/>
  <c r="F266" i="3"/>
  <c r="F265" i="3"/>
  <c r="F263" i="3"/>
  <c r="E250" i="3"/>
  <c r="F243" i="3"/>
  <c r="F242" i="3"/>
  <c r="F240" i="3"/>
  <c r="F239" i="3"/>
  <c r="F238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B225" i="3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F224" i="3"/>
  <c r="B224" i="3"/>
  <c r="F223" i="3"/>
  <c r="B223" i="3"/>
  <c r="F222" i="3"/>
  <c r="F250" i="3" s="1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198" i="3"/>
  <c r="F197" i="3"/>
  <c r="F196" i="3"/>
  <c r="E195" i="3"/>
  <c r="F195" i="3" s="1"/>
  <c r="F194" i="3"/>
  <c r="F193" i="3"/>
  <c r="F192" i="3"/>
  <c r="F191" i="3"/>
  <c r="E191" i="3"/>
  <c r="E216" i="3" s="1"/>
  <c r="F190" i="3"/>
  <c r="F189" i="3"/>
  <c r="E182" i="3"/>
  <c r="G182" i="3" s="1"/>
  <c r="F179" i="3"/>
  <c r="F178" i="3"/>
  <c r="F177" i="3"/>
  <c r="F176" i="3"/>
  <c r="F175" i="3"/>
  <c r="F173" i="3"/>
  <c r="F172" i="3"/>
  <c r="F171" i="3"/>
  <c r="F170" i="3"/>
  <c r="F169" i="3"/>
  <c r="F167" i="3"/>
  <c r="F182" i="3" s="1"/>
  <c r="F166" i="3"/>
  <c r="E160" i="3"/>
  <c r="F155" i="3"/>
  <c r="F151" i="3"/>
  <c r="F147" i="3"/>
  <c r="F146" i="3"/>
  <c r="F144" i="3"/>
  <c r="F141" i="3"/>
  <c r="F140" i="3"/>
  <c r="F139" i="3"/>
  <c r="F134" i="3"/>
  <c r="F132" i="3"/>
  <c r="F131" i="3"/>
  <c r="F160" i="3" s="1"/>
  <c r="F129" i="3"/>
  <c r="F121" i="3"/>
  <c r="E121" i="3"/>
  <c r="G121" i="3" s="1"/>
  <c r="E103" i="3"/>
  <c r="F92" i="3"/>
  <c r="F76" i="3"/>
  <c r="F103" i="3" s="1"/>
  <c r="B72" i="3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71" i="3"/>
  <c r="G64" i="3"/>
  <c r="F64" i="3"/>
  <c r="E64" i="3"/>
  <c r="E43" i="3"/>
  <c r="G43" i="3" s="1"/>
  <c r="F13" i="3"/>
  <c r="F6" i="3"/>
  <c r="F43" i="3" s="1"/>
  <c r="E475" i="2"/>
  <c r="B468" i="2"/>
  <c r="B469" i="2" s="1"/>
  <c r="B470" i="2" s="1"/>
  <c r="B471" i="2" s="1"/>
  <c r="B472" i="2" s="1"/>
  <c r="B473" i="2" s="1"/>
  <c r="B467" i="2"/>
  <c r="F449" i="2"/>
  <c r="F448" i="2"/>
  <c r="F447" i="2"/>
  <c r="F475" i="2" s="1"/>
  <c r="E441" i="2"/>
  <c r="G441" i="2" s="1"/>
  <c r="F437" i="2"/>
  <c r="F433" i="2"/>
  <c r="F431" i="2"/>
  <c r="F427" i="2"/>
  <c r="B421" i="2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20" i="2"/>
  <c r="F418" i="2"/>
  <c r="F416" i="2"/>
  <c r="F405" i="2"/>
  <c r="F403" i="2"/>
  <c r="F402" i="2"/>
  <c r="F401" i="2"/>
  <c r="F400" i="2"/>
  <c r="F441" i="2" s="1"/>
  <c r="F394" i="2"/>
  <c r="E394" i="2"/>
  <c r="G394" i="2" s="1"/>
  <c r="B384" i="2"/>
  <c r="B385" i="2" s="1"/>
  <c r="B386" i="2" s="1"/>
  <c r="B387" i="2" s="1"/>
  <c r="B388" i="2" s="1"/>
  <c r="B389" i="2" s="1"/>
  <c r="B390" i="2" s="1"/>
  <c r="B391" i="2" s="1"/>
  <c r="B392" i="2" s="1"/>
  <c r="F375" i="2"/>
  <c r="F358" i="2"/>
  <c r="E358" i="2"/>
  <c r="E477" i="2" s="1"/>
  <c r="B325" i="2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F299" i="2"/>
  <c r="E299" i="2"/>
  <c r="G299" i="2" s="1"/>
  <c r="F257" i="2"/>
  <c r="G257" i="2" s="1"/>
  <c r="E257" i="2"/>
  <c r="E220" i="2"/>
  <c r="F208" i="2"/>
  <c r="E208" i="2"/>
  <c r="G208" i="2" s="1"/>
  <c r="F196" i="2"/>
  <c r="E196" i="2"/>
  <c r="G196" i="2" s="1"/>
  <c r="E179" i="2"/>
  <c r="F160" i="2"/>
  <c r="E160" i="2"/>
  <c r="G160" i="2" s="1"/>
  <c r="F114" i="2"/>
  <c r="E114" i="2"/>
  <c r="G114" i="2" s="1"/>
  <c r="F76" i="2"/>
  <c r="E76" i="2"/>
  <c r="G76" i="2" s="1"/>
  <c r="B45" i="2"/>
  <c r="F38" i="2"/>
  <c r="E38" i="2"/>
  <c r="G38" i="2" s="1"/>
  <c r="G250" i="3" l="1"/>
  <c r="G103" i="3"/>
  <c r="G160" i="3"/>
  <c r="G475" i="2"/>
  <c r="F477" i="2"/>
  <c r="G477" i="2" s="1"/>
  <c r="F216" i="3"/>
  <c r="G216" i="3" s="1"/>
  <c r="G358" i="2"/>
  <c r="I475" i="2" l="1"/>
</calcChain>
</file>

<file path=xl/sharedStrings.xml><?xml version="1.0" encoding="utf-8"?>
<sst xmlns="http://schemas.openxmlformats.org/spreadsheetml/2006/main" count="2660" uniqueCount="1383">
  <si>
    <t>MONTH JAN -2025</t>
  </si>
  <si>
    <t>SI.NO</t>
  </si>
  <si>
    <t>CLIENT NAME</t>
  </si>
  <si>
    <t>MONTH JAN -2024</t>
  </si>
  <si>
    <t>INVOICE NO</t>
  </si>
  <si>
    <t>INVOICE AMOUNT (R.O)</t>
  </si>
  <si>
    <t>RECIVED AMOUNT (R.O)</t>
  </si>
  <si>
    <t>REMARKS</t>
  </si>
  <si>
    <t>MR. YAQOOB KHALIFA ALI MOHAMMED AL KALBANI</t>
  </si>
  <si>
    <t>MR.SULTAN SULAIMAN AL RASHIDI</t>
  </si>
  <si>
    <t>Invoice/BON/Jan_2025/017</t>
  </si>
  <si>
    <t xml:space="preserve">Canceled </t>
  </si>
  <si>
    <t>MR. AFLAH SAIF MOHAMMED AL BRASHIDI</t>
  </si>
  <si>
    <t>Invoice/BON/Jan_2025/020</t>
  </si>
  <si>
    <t>MRS. RUQIYA NASSER KHALFAN AL YAHYAHEE</t>
  </si>
  <si>
    <t>Invoice/BON/Jan_2025/021</t>
  </si>
  <si>
    <t>MR. SAIF BIN ALI BIN ABDULLAH AL HATTALI</t>
  </si>
  <si>
    <t>MR. TALAL HAMED HASHIL AL SIYABI</t>
  </si>
  <si>
    <t>S/N</t>
  </si>
  <si>
    <t>Invoice/BON/Jan_2025/022</t>
  </si>
  <si>
    <t>MR. MUSTAFA ABDULLAH MALLAH AL BALUSHI</t>
  </si>
  <si>
    <t>Invoice/BON/Jan_2025/023</t>
  </si>
  <si>
    <t>project refrence</t>
  </si>
  <si>
    <t>MR. ASAD AL AMRI</t>
  </si>
  <si>
    <t>Client name</t>
  </si>
  <si>
    <t>Owner contact</t>
  </si>
  <si>
    <t>MR. MAKTOOM RASHID SAID AL MAHMOOLY</t>
  </si>
  <si>
    <t>Invoice/BON/Jan_2025/024</t>
  </si>
  <si>
    <t>Contractor name</t>
  </si>
  <si>
    <t>MR. AHMED KHALIFA ABDULLAH AL NAAMANI</t>
  </si>
  <si>
    <t>Contractor cantact</t>
  </si>
  <si>
    <t>Project type</t>
  </si>
  <si>
    <t>Invoice/BON/Jan_2025/025</t>
  </si>
  <si>
    <t>JANUARY MONTH INVOICES</t>
  </si>
  <si>
    <t>MR. HAMED SAID NASSER AL RASHIDI</t>
  </si>
  <si>
    <t>MR. RASHID SALIM SAIF AL HADIDI</t>
  </si>
  <si>
    <t>Invoice/BON/Jan_2025/026</t>
  </si>
  <si>
    <t>Plot no</t>
  </si>
  <si>
    <t>MR. SAID MUBARAK SALEM AL AMRI</t>
  </si>
  <si>
    <t>Invoice/BON/Jan_2025/027</t>
  </si>
  <si>
    <t>contract start</t>
  </si>
  <si>
    <t>MINISTRY OF ENDOWMENT &amp; RELIGIOUS AFFAIRS</t>
  </si>
  <si>
    <t>Invoice/BON/Jan_2025/028</t>
  </si>
  <si>
    <t>Location</t>
  </si>
  <si>
    <t>Supervision type</t>
  </si>
  <si>
    <t>Project staus</t>
  </si>
  <si>
    <t>MR. ABDUL RAHMAN NOOR ABDULLAH AL BALUSHI</t>
  </si>
  <si>
    <t>Invoice/BON/Jan_2025/029</t>
  </si>
  <si>
    <t xml:space="preserve">Visits                                        (structure)           </t>
  </si>
  <si>
    <t>MR. NASSER SALIM SAIF AL HADIDI</t>
  </si>
  <si>
    <t>MR. MAZIN MUBARAK ABDULLAH AL AMRI</t>
  </si>
  <si>
    <t>Invoice/BON/Jan_2025/030</t>
  </si>
  <si>
    <t>MR. ADHAM AYIL SALIM AL SAEEDI</t>
  </si>
  <si>
    <t>MR. ABDULLAH ALAM JABER AL HASSANI</t>
  </si>
  <si>
    <t>Invoice/BON/Jan_2025/031</t>
  </si>
  <si>
    <t>MR. SAID ALI HAMED AL HAMAHMI</t>
  </si>
  <si>
    <t xml:space="preserve">Invoice/BC/Jan_2024/001                                                                             </t>
  </si>
  <si>
    <t>Invoice/BON/Jan_2025/032</t>
  </si>
  <si>
    <t>Cancel</t>
  </si>
  <si>
    <t>MRS. SAADAALI SALIM AL RAJHI</t>
  </si>
  <si>
    <t>Invoice/BON/Jan_2025/033</t>
  </si>
  <si>
    <t>MR. MOHAMMED BADAR ALI AL-RUMHI</t>
  </si>
  <si>
    <t>Invoice/BON/Jan_2025/034</t>
  </si>
  <si>
    <t>MR.YA’QOUB NASSER SALAM AL BAHRI</t>
  </si>
  <si>
    <t>Invoice/BON/Jan_2025/035</t>
  </si>
  <si>
    <t>MR. MOHAMMED RASHID SULAIMAN AL BIMANI</t>
  </si>
  <si>
    <t>Invoice/BON/Jan_2025/036</t>
  </si>
  <si>
    <t>MR. SAID MOHAMMED SALIM MOHAMED AL AMRI</t>
  </si>
  <si>
    <t>MR. MAZIN SAID MOHAMED AL DHAHLI</t>
  </si>
  <si>
    <t>Invoice/BON/Jan_2025/037</t>
  </si>
  <si>
    <t>MR. SAID MOHAMMED RASHID AL WARDI</t>
  </si>
  <si>
    <t>MR. TALIB MOHAMMED KHALFAN AL KHATRI</t>
  </si>
  <si>
    <t>Invoice/BON/Jan_2025/038</t>
  </si>
  <si>
    <t>MR. ABDUL RAHMAN ALI SULAIMAN AL HATTALI</t>
  </si>
  <si>
    <t>Invoice/BON/Jan_2025/039</t>
  </si>
  <si>
    <t>MR. SULTAN SULAIMAN HAMED AL OFI</t>
  </si>
  <si>
    <t>Invoice/BON/Jan_2025/040</t>
  </si>
  <si>
    <t>MR. WALEED MOHAMMED AZIZ AL HUSEINI</t>
  </si>
  <si>
    <t>Invoice/BC/Jan 2024/011</t>
  </si>
  <si>
    <t>MR. SAUD HILAL HAMOOD AL SABRI</t>
  </si>
  <si>
    <t>Invoice/BON/Jan_2025/041</t>
  </si>
  <si>
    <t xml:space="preserve">MR. OMAR SAIF SAID AL MAMARI </t>
  </si>
  <si>
    <t>MRS. MARYAM SALEH KHALFAN AL BAKRI</t>
  </si>
  <si>
    <t>Invoice/BON/Jan_2025/042</t>
  </si>
  <si>
    <t>MRS.AYIDA MOHAMMED ALI AL ZADJALI</t>
  </si>
  <si>
    <t>Invoice/BC/Jan 2024/014</t>
  </si>
  <si>
    <t>MR. MASOUD SULAIMAN MASOUD AL FARSI</t>
  </si>
  <si>
    <t>Invoice/BON/Jan_2025/043</t>
  </si>
  <si>
    <t>MR. SHABIB ABDUL RAHIM AL RAISI</t>
  </si>
  <si>
    <t>Invoice/BC/Jan 2024/019</t>
  </si>
  <si>
    <t>MR. AHMED ALI NASSER AL HADHRAMI</t>
  </si>
  <si>
    <t>Invoice/BON/Jan_2025/044</t>
  </si>
  <si>
    <t xml:space="preserve">MR. MOOSA SAID MOHAMMED AL SUBHI </t>
  </si>
  <si>
    <t>MRS. ZAWWAN SULAIMAN KHALFAN AL HASNI</t>
  </si>
  <si>
    <t>Invoice/BC/Jan 2024/020</t>
  </si>
  <si>
    <t>Invoice/BON/Jan_2025/045</t>
  </si>
  <si>
    <t>Invoice/BON/Jan_2025/046</t>
  </si>
  <si>
    <t xml:space="preserve">MR. SULTAN SULAIMAN HAMED AL OFI </t>
  </si>
  <si>
    <t>Invoice/BC/Jan 2024/021</t>
  </si>
  <si>
    <t>MR. AZWAR SALEH MOHAMMED AL HASNI</t>
  </si>
  <si>
    <t>Invoice/BON/Jan_2025/047</t>
  </si>
  <si>
    <t>MR. MOHAMED HAMD AL HINAI</t>
  </si>
  <si>
    <t>Mrs. AISHA AMUR SALIM AL AMRI</t>
  </si>
  <si>
    <t>Invoice/BON/Jan_2025/068</t>
  </si>
  <si>
    <t>Invoice/BC/Jan 2024/022</t>
  </si>
  <si>
    <t>Mr. ABDUL BAQI HABIB ADAM AL HAMDANI</t>
  </si>
  <si>
    <t>Invoice/BON/Jan_2025/069</t>
  </si>
  <si>
    <t xml:space="preserve">MR. GHASSAN HAMOOD AHMED AL HABSI </t>
  </si>
  <si>
    <t>MR. ABDULLAH GHUSEN HIAL AL ABRI</t>
  </si>
  <si>
    <t>Invoice/BC/Jan 2024/023</t>
  </si>
  <si>
    <t>MR. SALEH SALIM HUMAID AL RUQAISHI</t>
  </si>
  <si>
    <t>Mr. Omar Al Balushi</t>
  </si>
  <si>
    <t>MR. SULAIMAN RASHID SAID AL SHARYANI</t>
  </si>
  <si>
    <t>Invoice/BC/Jan 2024/024</t>
  </si>
  <si>
    <t>H.H.AL SAYYIDA WISAM JAIFAR SALIM AL SAID</t>
  </si>
  <si>
    <t>Invoice/BC/Jan 2024/025</t>
  </si>
  <si>
    <t>Mawelah South</t>
  </si>
  <si>
    <t>Visit basis</t>
  </si>
  <si>
    <t>In-active</t>
  </si>
  <si>
    <t>MR.ADIL MALALLAH JALAB AL BALUSHI</t>
  </si>
  <si>
    <t>MRS. KHADIJA NASSER SULIEMAN AL - JAMI</t>
  </si>
  <si>
    <t>Invoice/BC/Jan 2024/026</t>
  </si>
  <si>
    <t xml:space="preserve">MR.SAIF SAID ALI AL SALHI </t>
  </si>
  <si>
    <t>Invoice/BC/Jan 2024/027</t>
  </si>
  <si>
    <t>MR. HAMED SAIF HAMED AL HINAI</t>
  </si>
  <si>
    <t xml:space="preserve">MR. ABDUL RAHMAN ALI SULAIMAN AL HATTALI  </t>
  </si>
  <si>
    <t>Invoice/BC/Jan 2024/028</t>
  </si>
  <si>
    <t>MR. MOOSA YOUSUF SAIF AL AGHBARI</t>
  </si>
  <si>
    <t>MR. SALIM MOHAMMED SALIM AL JABRI</t>
  </si>
  <si>
    <t>MR. AHMED MUSBAH MOHAMMED AL SAIDI</t>
  </si>
  <si>
    <t>MR. TALAL KHAMIS AYIL AL HAMMAMDI</t>
  </si>
  <si>
    <t>Invoice/BC/Jan 2024/029</t>
  </si>
  <si>
    <t>MR. BUSHRA HAMOOD SAID AL SINANI</t>
  </si>
  <si>
    <t>Invoice/BC/Jan 2024/030</t>
  </si>
  <si>
    <t xml:space="preserve">MR. ALI HAMED RASHID AL RASHIDI </t>
  </si>
  <si>
    <t>Mrs. Zuwaina Al Saadi</t>
  </si>
  <si>
    <t>MONTH FEBRUARY -2025</t>
  </si>
  <si>
    <t>MR. AMEER AWADH SALIM AL RAWAS</t>
  </si>
  <si>
    <t>Mabelah South</t>
  </si>
  <si>
    <t>Invoice/BC/Jan 2024/031</t>
  </si>
  <si>
    <t>MR. AHMED SULAIMAN SALIM AL AGHBARI</t>
  </si>
  <si>
    <t>Invoice/BC/Jan 2024/032</t>
  </si>
  <si>
    <t>MR. MOHAMMED KHALFAN KHALAF AL BAHRI</t>
  </si>
  <si>
    <t>Invoice/BC/Jan 2024/033</t>
  </si>
  <si>
    <t>MR. FAHAD MAHMOOD MAZAR AL ZADJALI</t>
  </si>
  <si>
    <t>Invoice/BC/Jan 2024/034</t>
  </si>
  <si>
    <t>MR. ILYAS SULAIMAN MOHAMMED AL MAHRUQI</t>
  </si>
  <si>
    <t>MR. FAHAD KHALFAN SALIM AL JABRI</t>
  </si>
  <si>
    <t>Invoice/BC/Jan 2024/035</t>
  </si>
  <si>
    <t>Mr. Saif Ismail</t>
  </si>
  <si>
    <t>Lumpsum</t>
  </si>
  <si>
    <t>MR. ADHAM KHAMIS KHALIFA AL RIYAMI</t>
  </si>
  <si>
    <t>Stopped</t>
  </si>
  <si>
    <t>Invoice/BC/Jan 2024/036</t>
  </si>
  <si>
    <t>lum/30</t>
  </si>
  <si>
    <t xml:space="preserve">MR. MURSHID SAIF MUSALLAM AL – SHUKAIRI  </t>
  </si>
  <si>
    <t>Invoice/BC/Jan 2024/037</t>
  </si>
  <si>
    <t>MR. AHMED SAID MOHAMMED AL FARII</t>
  </si>
  <si>
    <t>Invoice/BC/Jan 2024/038</t>
  </si>
  <si>
    <t>Mr. Osama</t>
  </si>
  <si>
    <t>Hail Al Awamier South</t>
  </si>
  <si>
    <t xml:space="preserve">MR. AMJAD MOHAMMED SIDDIQ AL BALUSHI </t>
  </si>
  <si>
    <t>Invoice/BC/Jan 2024/039</t>
  </si>
  <si>
    <t>FEBRUARY MONTH INVOICES</t>
  </si>
  <si>
    <t>MR. MUNEER DAEED HAFIDH AL HASNI</t>
  </si>
  <si>
    <t>Invoice/BC/Jan 2024/040</t>
  </si>
  <si>
    <t>MR. MOHAMMED ALI MOHAMMED AL BALUSHI</t>
  </si>
  <si>
    <t>Invoice/BC/Jan 2024/041</t>
  </si>
  <si>
    <t>MR.MOHAMED ISSA HAMOOD AL – FAR’EI</t>
  </si>
  <si>
    <t>Invoice/BC/Jan 2024/042</t>
  </si>
  <si>
    <t>MR.AHMED KHALAF AHMED AL MAHROUQI</t>
  </si>
  <si>
    <t>Invoice/BC/Jan 2024/043</t>
  </si>
  <si>
    <t>Invoice/BC/Jan 2024/044</t>
  </si>
  <si>
    <t xml:space="preserve">MR. AZWAR SALEH MOHAMMED AL HASNI </t>
  </si>
  <si>
    <t>Invoice/BC/Jan 2024/065</t>
  </si>
  <si>
    <t xml:space="preserve">MR.SULTAN GHASSAN HILAL MOHAMMED AL ABRI </t>
  </si>
  <si>
    <t>Invoice/BC/Jan 2024/066</t>
  </si>
  <si>
    <t>MR. NASSER SAIF ABDULLAH AL-SHARJI</t>
  </si>
  <si>
    <t>Mr. Said Nasser Al Kindi</t>
  </si>
  <si>
    <t>SAHABA MOSQUE</t>
  </si>
  <si>
    <t>Invoice/BC/Jan 2024/068</t>
  </si>
  <si>
    <t>Invoice/BON/Feb_2025/001</t>
  </si>
  <si>
    <t>Montly</t>
  </si>
  <si>
    <t xml:space="preserve">MR.ABDULLA ALI MUHAMED AL ZADJALI </t>
  </si>
  <si>
    <t>6/month</t>
  </si>
  <si>
    <t>Invoice/BC/Jan 2024/069</t>
  </si>
  <si>
    <t>MR. MOHAMMED NASSER HAMED AL RIYAMI</t>
  </si>
  <si>
    <t>Invoice/BC/Jan 2024/070</t>
  </si>
  <si>
    <t>Invoice/BC/Jan 2024/078</t>
  </si>
  <si>
    <t>MR. HAMED ESSA SALEM AL AMRI</t>
  </si>
  <si>
    <t>Invoice/BC/Jan 2024/081</t>
  </si>
  <si>
    <t>MRS.FAKHRIYA KHAMIS SALIM AL HABSI</t>
  </si>
  <si>
    <t>Invoice/BON/Feb_2025/015</t>
  </si>
  <si>
    <t>MR. MOHAMMED SALIM HASSAN AL NAMAANI</t>
  </si>
  <si>
    <t>Invoice/BON/Feb_2025/016</t>
  </si>
  <si>
    <t>Mr. Safa Khalifa Mohammed Al Subhi</t>
  </si>
  <si>
    <t>Invoice/BON/Feb_2025/017</t>
  </si>
  <si>
    <t>ajmal trading</t>
  </si>
  <si>
    <t>Villa</t>
  </si>
  <si>
    <t>Invoice/BON/Feb_2025/018</t>
  </si>
  <si>
    <t>Al Rumais</t>
  </si>
  <si>
    <t xml:space="preserve">MR. AHMED RASHID AHMED AL MASKARI </t>
  </si>
  <si>
    <t>Final visit</t>
  </si>
  <si>
    <t>Invoice/BON/FEB_2025/030</t>
  </si>
  <si>
    <t>lum/17</t>
  </si>
  <si>
    <t>MR. ALI SALEH HAMOOD AL MASKARI</t>
  </si>
  <si>
    <t>Invoice/BON/FEB_2025/031</t>
  </si>
  <si>
    <t>Invoice/BON/FEB_2025/032</t>
  </si>
  <si>
    <t>MR. AHMED SAIF KHALFAN AL AMRI</t>
  </si>
  <si>
    <t>Invoice/BON/FEB_2025/033</t>
  </si>
  <si>
    <t>MR. ZAWWAN SULAIMAN KHALFAN AL HASNI</t>
  </si>
  <si>
    <t>MONTH FEB -2024</t>
  </si>
  <si>
    <t>Invoice/BON/FEB_2025/034</t>
  </si>
  <si>
    <t>MRS. THURAIYA SAID ABDULLAH AL SIYABI</t>
  </si>
  <si>
    <t>Invoice/BON/FEB_2025/035</t>
  </si>
  <si>
    <t>MR. SAID ALI SAIF AL RASHIDI</t>
  </si>
  <si>
    <t>Invoice/BON/FEB_2025/036</t>
  </si>
  <si>
    <t>MR. AHMED SAID MANEEN AL DHAMRI</t>
  </si>
  <si>
    <t>Invoice/BON/FEB_2025/037</t>
  </si>
  <si>
    <t>Invoice/BON/FEB_2025/038</t>
  </si>
  <si>
    <t>MR. SAID NASSER SAID AL KINDI</t>
  </si>
  <si>
    <t>Invoice/BON/FEB_2025/039</t>
  </si>
  <si>
    <t>MR. MOHAMMED MARHOON MOHAMMED AL ABRI</t>
  </si>
  <si>
    <t>Mr. Asila Saif Khamis Al Mazrui</t>
  </si>
  <si>
    <t>Invoice/BON/FEB_2025/040</t>
  </si>
  <si>
    <t xml:space="preserve">MR. MALIK ISSA MOHAMMED AL RASHIDI </t>
  </si>
  <si>
    <t>Invoice/BON/FEB_2025/041</t>
  </si>
  <si>
    <t>Active</t>
  </si>
  <si>
    <t>Madam. HALIMA RASHID SULAIMAN AL SHIBLY</t>
  </si>
  <si>
    <t>MRS. SAIDA HUMAID NASSER AL SIYABI</t>
  </si>
  <si>
    <t>Invoice/BON/FEB_2025/042</t>
  </si>
  <si>
    <t>MR.ALI KHASIB NASSER AL SUBHI</t>
  </si>
  <si>
    <t>Invoice/Bon/Feb_2024/006</t>
  </si>
  <si>
    <t xml:space="preserve">MR. ISSA SAIF SAID AL RASHIDI </t>
  </si>
  <si>
    <t>Invoice/BON/FEB_2025/043</t>
  </si>
  <si>
    <t>MR. MAJID KHAMIS HAMOOD AL YAHAYI</t>
  </si>
  <si>
    <t>Invoice/Bon/Feb_2024/005</t>
  </si>
  <si>
    <t>MR. AHMED KHALAF AHMED AL MAHRUQI</t>
  </si>
  <si>
    <t>Invoice/BON/FEB_2025/044</t>
  </si>
  <si>
    <t xml:space="preserve">MR.FAHAD ALI HASHIL AL SABEI </t>
  </si>
  <si>
    <t>Invoice/Bon/FEB-2024/027</t>
  </si>
  <si>
    <t>Invoice/BON/FEB_2025/045</t>
  </si>
  <si>
    <t>MR. AHMED KHAMIS MARHOON SALIM AL AMRI</t>
  </si>
  <si>
    <t>MADAM.JUMA GHAREEB HUDAIB AL RAWAHI</t>
  </si>
  <si>
    <t>MR. ABDULLAH GHUSEN HILAL AL ABRI</t>
  </si>
  <si>
    <t xml:space="preserve">Invoice/Bon/Feb_2024/044                                                                                 </t>
  </si>
  <si>
    <t>Invoice/BON/FEB_2025/046</t>
  </si>
  <si>
    <t>Mrs. Asma Habsi</t>
  </si>
  <si>
    <t>MR. TALIB THANI KHALFAN AL AMRI</t>
  </si>
  <si>
    <t xml:space="preserve">Invoice/Bon/Feb_2024/045                                                                                 </t>
  </si>
  <si>
    <t xml:space="preserve">MR. SAIF RASHID SAIF AL DHAMRY	</t>
  </si>
  <si>
    <t>Invoice/BON/FEB_2025/047</t>
  </si>
  <si>
    <t>Sur Al Hadid</t>
  </si>
  <si>
    <t>3/month</t>
  </si>
  <si>
    <t xml:space="preserve">MR. YAQADHAN AZAN SALAM AL BAHRI </t>
  </si>
  <si>
    <t>Invoice/Bon/Feb_2024/046</t>
  </si>
  <si>
    <t xml:space="preserve">MR. ZAHIR HAMDAN NASSER AL KINDI </t>
  </si>
  <si>
    <t>Invoice/BON/FEB_2025/048</t>
  </si>
  <si>
    <t xml:space="preserve">MR. HAMED MOHAMMED HAMED AL AUFI </t>
  </si>
  <si>
    <t>Invoice/Bon/Feb_2024/047</t>
  </si>
  <si>
    <t>MR. MOHAMMED BIN ALI SALIM AL QARNI</t>
  </si>
  <si>
    <t>MR. ALI SALEH HAMODD AL MASKARI</t>
  </si>
  <si>
    <t>Invoice/BON/FEB_2025/049</t>
  </si>
  <si>
    <t>Invoice/Bon/Feb_2024/048</t>
  </si>
  <si>
    <t>Mr. Abdul Aziz Mohamed Mohsin Al Talib</t>
  </si>
  <si>
    <t xml:space="preserve">MRS. KAWLA WALEED AHMED MAIMANI	</t>
  </si>
  <si>
    <t>Golden Jewel Trading Contracting</t>
  </si>
  <si>
    <t>Invoice/BON/FEB_2025/050</t>
  </si>
  <si>
    <t>MRS. FATHIMA ALI MUBARAK AL BALUSHI</t>
  </si>
  <si>
    <t>Barka</t>
  </si>
  <si>
    <t>Invoice/Bon/Feb_2024/049</t>
  </si>
  <si>
    <t>MR. MARWAN YASIR SAID AL MAAMRI</t>
  </si>
  <si>
    <t>Invoice/BON/FEB_2025/051</t>
  </si>
  <si>
    <t>4-6/month</t>
  </si>
  <si>
    <t>MR. NAJEEB MOHAMMED AMUR AL HARTHY</t>
  </si>
  <si>
    <t>Invoice/Bon/Feb_2024/050</t>
  </si>
  <si>
    <t>Invoice/BON/FEB_2025/052</t>
  </si>
  <si>
    <t>Invoice/Bon/Feb_2024/051</t>
  </si>
  <si>
    <t>Invoice/BON/FEB_2025/054</t>
  </si>
  <si>
    <t>MR. AMUR SAID AMUR AL HARTHY</t>
  </si>
  <si>
    <t>Invoice/Bon/Feb_2024/052</t>
  </si>
  <si>
    <t xml:space="preserve">Mr. HAITHAM MOHAMMED YOUSUF AL AGHBARI </t>
  </si>
  <si>
    <t>Invoice/BON/FEB_2025/055</t>
  </si>
  <si>
    <t>MR. SALIM SAID GHARIB AL HARASHI</t>
  </si>
  <si>
    <t>Invoice/BON/FEB_2025/056</t>
  </si>
  <si>
    <t>MR. ABDULLAH HAMED ABDULLA AL HINAI</t>
  </si>
  <si>
    <t xml:space="preserve">MRS. SAMIRA HAMOOD HUMAID AL BADI </t>
  </si>
  <si>
    <t>MR. HASSAN SAID KHALFAN AL HARRASI</t>
  </si>
  <si>
    <t>Mr. Mahmood Al Hinai</t>
  </si>
  <si>
    <t>lum/25</t>
  </si>
  <si>
    <t xml:space="preserve">MR. SAMI AL KHARUSI </t>
  </si>
  <si>
    <t>MONTH MAR -2024</t>
  </si>
  <si>
    <t>MONTH MARCH -2025</t>
  </si>
  <si>
    <t>MR. ABDULLAH SALIM JABER AL HASNI</t>
  </si>
  <si>
    <t>MR. YOUSUF ABDULLAH SULAIMAN KALBANI</t>
  </si>
  <si>
    <t>Mr. Talal Hammadi</t>
  </si>
  <si>
    <t>Al Khoudh</t>
  </si>
  <si>
    <t>MR. FAHAD SALEH ALI KHALFAN AL MAQBALI</t>
  </si>
  <si>
    <t>MR. SAIF SAID ALI AL SALHI</t>
  </si>
  <si>
    <t>MARCH MONTH INVOICES</t>
  </si>
  <si>
    <t>Mr. Mohammed Saif Al Hattali</t>
  </si>
  <si>
    <t>Invoice/BC/March 2024/014</t>
  </si>
  <si>
    <t>Invoice/BON/Mar_2025/006</t>
  </si>
  <si>
    <t>MR. IBRAIM ALI MOHAMMED AL KHARBOOSHI</t>
  </si>
  <si>
    <t>4/month</t>
  </si>
  <si>
    <t>MR.ADIL MALALLAH JALAB AL BALUSHI (abhisek)</t>
  </si>
  <si>
    <t>Invoice/BON/Mar_2025/007</t>
  </si>
  <si>
    <t>MRS. NOOR SAID NASSER AL HARRASI</t>
  </si>
  <si>
    <t>Invoice/BC/March 2024/015</t>
  </si>
  <si>
    <t>MR. SULAIMAN KHALIFA MUBARAK AL HATMI</t>
  </si>
  <si>
    <t>Invoice/BON/Mar_2025/008</t>
  </si>
  <si>
    <t>Invoice/BC/March 2024/016</t>
  </si>
  <si>
    <t>Invoice/BON/Mar_2025/015</t>
  </si>
  <si>
    <t>Invoice/BC/March 2024/017</t>
  </si>
  <si>
    <t>Invoice/BON/Mar_2025/021</t>
  </si>
  <si>
    <t>MR. AYMAN ABDULLAH YOUSUF AL BALUSHI</t>
  </si>
  <si>
    <t>Invoice/BON/Mar_2025/029</t>
  </si>
  <si>
    <t>Invoice/BC/March 2024/018</t>
  </si>
  <si>
    <t>Mr. Ali Al Rawahi</t>
  </si>
  <si>
    <t>MR. ANWAR YASSER AL BALUSHI (abhisek)</t>
  </si>
  <si>
    <t>Invoice/BON/Mar_2025/031</t>
  </si>
  <si>
    <t>Invoice/BC/March 2024/019</t>
  </si>
  <si>
    <t>visit basis</t>
  </si>
  <si>
    <t>Invoice/BON/Mar_2025/032</t>
  </si>
  <si>
    <t>Invoice/BC/March 2024/020</t>
  </si>
  <si>
    <t>rec. on 13.07.24</t>
  </si>
  <si>
    <t>MR. ALI NASSER SALIM AL KALBANI</t>
  </si>
  <si>
    <t>Invoice/BON/Mar_2025/033</t>
  </si>
  <si>
    <t>Invoice/BC/March 2024/021</t>
  </si>
  <si>
    <t>MR. FAISAL SAIF ZAYID AL HOSNI</t>
  </si>
  <si>
    <t>Invoice/BON/Mar_2025/034</t>
  </si>
  <si>
    <t>Mr. Lujain Sulaiman Abdullah Al Riyami</t>
  </si>
  <si>
    <t>-</t>
  </si>
  <si>
    <t>Invoice/BC/March 2024/022</t>
  </si>
  <si>
    <t>MR.MALIK ABDULLAH KHAMIS AL HADIDI</t>
  </si>
  <si>
    <t>Invoice/BON/Mar_2025/056</t>
  </si>
  <si>
    <t>Cancelled</t>
  </si>
  <si>
    <t>Invoice/BON/Mar_2025/057</t>
  </si>
  <si>
    <t>Invoice/BC/March 2024/023</t>
  </si>
  <si>
    <t>Invoice/BON/Mar_2025/058</t>
  </si>
  <si>
    <t>Invoice/BC/March 2024/024</t>
  </si>
  <si>
    <t>Invoice/BC/March 2024/025</t>
  </si>
  <si>
    <t>Invoice/BON/Mar_2025/059</t>
  </si>
  <si>
    <t>Mr. Said Al Riyami</t>
  </si>
  <si>
    <t>MR.FAISAL SULTAN HUMAID AL GHAFRI</t>
  </si>
  <si>
    <t>Invoice/BC/March 2024/026</t>
  </si>
  <si>
    <t>Invoice/BON/Mar_2025/060</t>
  </si>
  <si>
    <t>MR. QAIS MOHAMMED NASSER AL HINAI</t>
  </si>
  <si>
    <t>Invoice/BON/Mar_2025/061</t>
  </si>
  <si>
    <t>Invoice/BC/March 2024/027</t>
  </si>
  <si>
    <t>MR. HAMED KHALFAN HAMOOD AL AMRI</t>
  </si>
  <si>
    <t>Invoice/BON/Mar_2025/062</t>
  </si>
  <si>
    <t>Invoice/BC/March 2024/028</t>
  </si>
  <si>
    <t>MR. YAHYA RASHID SULAIMAN AL BIMANI</t>
  </si>
  <si>
    <t>Invoice/BON/Mar_2025/063</t>
  </si>
  <si>
    <t>Invoice/BC/March 2024/029</t>
  </si>
  <si>
    <t>Mr. Fahad Khamis Suwaid Al Busaidi</t>
  </si>
  <si>
    <t xml:space="preserve">MR. MAHMOOD KHALIFA ALI AL NABHANI </t>
  </si>
  <si>
    <t>mutant for global bussiness spc</t>
  </si>
  <si>
    <t>Invoice/BON/Mar_2025/064</t>
  </si>
  <si>
    <t>Invoice/BC/March 2024/030</t>
  </si>
  <si>
    <t>lum/14</t>
  </si>
  <si>
    <t xml:space="preserve">Mr. ABDUL BAQI HABIB ADAM AL HAMDANI </t>
  </si>
  <si>
    <t>Invoice/BON/Mar_2025/065</t>
  </si>
  <si>
    <t>Invoice/BC/March 2024/031</t>
  </si>
  <si>
    <t xml:space="preserve">MR. SULTAN SULAIMAN AL RASHIDI </t>
  </si>
  <si>
    <t>Invoice/BC/March 2024/032</t>
  </si>
  <si>
    <t>Invoice/BON/Mar_2025/066</t>
  </si>
  <si>
    <t>Invoice/BC/March 2024/033</t>
  </si>
  <si>
    <t xml:space="preserve">MR. ABDUL AZIZ YAHYA HUMAID AL SIYABI </t>
  </si>
  <si>
    <t>Invoice/BON/Mar_2025/067</t>
  </si>
  <si>
    <t xml:space="preserve">MR. ADHAM KHAMIS KHALIFA AL RIYAMI </t>
  </si>
  <si>
    <t>Invoice/BC/March 2024/034</t>
  </si>
  <si>
    <t>Invoice/BON/Mar_2025/068</t>
  </si>
  <si>
    <t>Mr. Adil Malallah Jalab Al Balushi</t>
  </si>
  <si>
    <t>Invoice/BC/March 2024/035</t>
  </si>
  <si>
    <t>modern sun flowers</t>
  </si>
  <si>
    <t>CANCELLED</t>
  </si>
  <si>
    <t>Invoice/BON/Mar_2025/069</t>
  </si>
  <si>
    <t>MR. KHALFAN HILAL HAMED AL SUBHI</t>
  </si>
  <si>
    <t>Invoice/BC/March 2024/036</t>
  </si>
  <si>
    <t xml:space="preserve">MRS. RUQIYA HAMDAN SALIM AL TAMIMI </t>
  </si>
  <si>
    <t>received in june</t>
  </si>
  <si>
    <t>Invoice/BON/Mar_2025/070</t>
  </si>
  <si>
    <t>MR. HAMAM HASSAN SALIM AL FARSI</t>
  </si>
  <si>
    <t>Invoice/BC/March 2024/037</t>
  </si>
  <si>
    <t>Invoice/BON/Mar_2025/071</t>
  </si>
  <si>
    <t>MR. WALEED SAIF ZAYID AL HOSNI</t>
  </si>
  <si>
    <t>Invoice/BC/March 2024/038</t>
  </si>
  <si>
    <t xml:space="preserve">MR. SAUD SALIM SAIF AL QARNI </t>
  </si>
  <si>
    <t>Invoice/BON/Mar_2025/072</t>
  </si>
  <si>
    <t>MR. IBRAHIM SULTAN MOHAMMED AL AAMRI</t>
  </si>
  <si>
    <t>MRS. KAWLA WALEED AHMED MAIMANI</t>
  </si>
  <si>
    <t>Invoice/BC/March 2024/039</t>
  </si>
  <si>
    <t>Invoice/BON/Mar_2025/073</t>
  </si>
  <si>
    <t>MR. FAHAD ABDULLAH SULAIMAN AL MAAMRI</t>
  </si>
  <si>
    <t>MRS. EMAN SAID ALI AL SAWAFI</t>
  </si>
  <si>
    <t>Invoice/BON/Mar_2025/076</t>
  </si>
  <si>
    <t>Invoice/BC/March 2024/040</t>
  </si>
  <si>
    <t>MR. ISSA SAID ISSA AL SHUAIBI</t>
  </si>
  <si>
    <t>Invoice/BC/March 2024/041</t>
  </si>
  <si>
    <t>Invoice/BC/March 2024/042</t>
  </si>
  <si>
    <t>Mr. Khalifa Al Hatmi</t>
  </si>
  <si>
    <t>lighting integrited projects</t>
  </si>
  <si>
    <t>Al Fulej</t>
  </si>
  <si>
    <t>Invoice/BC/March 2024/043</t>
  </si>
  <si>
    <t>MRS. SAADA ALI SALIM AL RAJHI</t>
  </si>
  <si>
    <t>Invoice/BC/March 2024/044</t>
  </si>
  <si>
    <t>MR. NABIL MARHOON NASSER AL YOUSUFI</t>
  </si>
  <si>
    <t>Invoice/BC/March 2024/045</t>
  </si>
  <si>
    <t>MR. HARIB ALI HAMOOD AL FARSI</t>
  </si>
  <si>
    <t>MRS. AMANI MANSOOR NASSER AL KINDI</t>
  </si>
  <si>
    <t>Al shakakit</t>
  </si>
  <si>
    <t>lum/15</t>
  </si>
  <si>
    <t>MONTH APR -2024</t>
  </si>
  <si>
    <t>MONTH APRIL -2025</t>
  </si>
  <si>
    <t>Mr.Yousuf Thani Rashid Thani</t>
  </si>
  <si>
    <t>Hay assim</t>
  </si>
  <si>
    <t>lum/11</t>
  </si>
  <si>
    <t xml:space="preserve">MR. YAQOOB KHALIFA ALI MOHAMMED AL KALBANI   </t>
  </si>
  <si>
    <t>APRIL MONTH INVOICES</t>
  </si>
  <si>
    <t>APRIL MONTHS INVOICES</t>
  </si>
  <si>
    <t>MR. MOHAMMED SULAIMAN SAIF AL RASHIDY</t>
  </si>
  <si>
    <t>Invoice/BON/April_2025/001</t>
  </si>
  <si>
    <t>Mr. Said Issa Al Balushi</t>
  </si>
  <si>
    <t>MR.NIYAZ DOSHAMBEH BISHUK AL BALUSHI</t>
  </si>
  <si>
    <t>Invoice/Bon/April_2024/002</t>
  </si>
  <si>
    <t xml:space="preserve">Mr. KHALID </t>
  </si>
  <si>
    <t>Invoice/BON/April_2025/002</t>
  </si>
  <si>
    <t>Halban</t>
  </si>
  <si>
    <t>MR. TARIQ IBRAHIM DARWISH AL - BALUSHI</t>
  </si>
  <si>
    <t>Invoice/BON/April_2025/003</t>
  </si>
  <si>
    <t>MR. ABDULLAH SALEM JABIR AL HASNI</t>
  </si>
  <si>
    <t>Invoice/Bon/April_2024/003</t>
  </si>
  <si>
    <t>Invoice/BON/April_2025/004</t>
  </si>
  <si>
    <t>MR. H.H. AL SAYYID ADHAM TARIQ TAIMUR AAL SAID</t>
  </si>
  <si>
    <t>Invoice/BON/April_2025/006</t>
  </si>
  <si>
    <t>Invoice/Bon/April_2024/009</t>
  </si>
  <si>
    <t>Invoice/BON/April_2025/007</t>
  </si>
  <si>
    <t>MR. MOOSA YOUSUF SAIF AL-AGHBARI</t>
  </si>
  <si>
    <t>Invoice/Bon/April_2024/010</t>
  </si>
  <si>
    <t>Invoice/BON/April_2025/008</t>
  </si>
  <si>
    <t>Invoice/BON/April_2025/009</t>
  </si>
  <si>
    <t>MR. MUHANNAD ABDULLAH AL BALUSHI</t>
  </si>
  <si>
    <t>Mr. Abdullah Mohammed Ali Al Abdul Sallam</t>
  </si>
  <si>
    <t>Invoice/Bon/April_2024/011</t>
  </si>
  <si>
    <t>Invoice/BON/April_2025/017</t>
  </si>
  <si>
    <t>MR. AHMED BIN SAEED BIN ALI AL BATASHI</t>
  </si>
  <si>
    <t>Invoice/BON/April_2025/018</t>
  </si>
  <si>
    <t>lum/13</t>
  </si>
  <si>
    <t>Invoice/Bon/April_2024/012</t>
  </si>
  <si>
    <t>Invoice/BON/April_2025/022</t>
  </si>
  <si>
    <t>Invoice/BON/April_2025/023</t>
  </si>
  <si>
    <t>MRs. KHAZINA NASER AL ABED AL BOUSAIDY</t>
  </si>
  <si>
    <t>Invoice/Bon/April_2024/013</t>
  </si>
  <si>
    <t>MR. ABDULLAH SULAIMAN AL SULAIMANI</t>
  </si>
  <si>
    <t>Invoice/BON/April_2025/024</t>
  </si>
  <si>
    <t>Invoice/BON/April_2025/032</t>
  </si>
  <si>
    <t>MR. SULAIMAN ALI RASHID AL AMRI</t>
  </si>
  <si>
    <t>Invoice/Bon/April_2024/014</t>
  </si>
  <si>
    <t>Invoice/BON/April_2025/033</t>
  </si>
  <si>
    <t>MR. NASAR NASSER ABDULLA AL QASSABI</t>
  </si>
  <si>
    <t>Invoice/Bon/April_2024/015</t>
  </si>
  <si>
    <t>Invoice/BON/April_2025/034</t>
  </si>
  <si>
    <t>Mr. Khalfan Sinan Khalfan Al Shaaili</t>
  </si>
  <si>
    <t>zanbaqat bahla trad &amp;const</t>
  </si>
  <si>
    <t>Invoice/BON/April_2025/035</t>
  </si>
  <si>
    <t>3-27-248-01-009</t>
  </si>
  <si>
    <t>Invoice/Bon/April_2024/016</t>
  </si>
  <si>
    <t>NAKHAL</t>
  </si>
  <si>
    <t>Invoice/BON/April_2025/036</t>
  </si>
  <si>
    <t>lum/12</t>
  </si>
  <si>
    <t>Invoice/Bon/April_2024/017</t>
  </si>
  <si>
    <t>Invoice/BON/April_2025/037</t>
  </si>
  <si>
    <t>Invoice/BON/April_2025/038</t>
  </si>
  <si>
    <t>Invoice/Bon/April_2024/018</t>
  </si>
  <si>
    <t>Invoice/BON/April_2025/039</t>
  </si>
  <si>
    <t>Invoice/BON/April_2025/040</t>
  </si>
  <si>
    <t>Invoice/BON/April_2025/041</t>
  </si>
  <si>
    <t>Invoice/BON/April_2025/042</t>
  </si>
  <si>
    <t>Invoice/BON/April_2025/043</t>
  </si>
  <si>
    <t>MR. SALEM YOUSEF SALEM AL HABSI</t>
  </si>
  <si>
    <t>Madam. FATIMA MOOSA IBRAHIM AL BALSUHI</t>
  </si>
  <si>
    <t>Invoice/BON/April_2025/044</t>
  </si>
  <si>
    <t>Invoice/BON/April_2025/045</t>
  </si>
  <si>
    <t>al qahraman trad</t>
  </si>
  <si>
    <t>MONTH MAY -2024</t>
  </si>
  <si>
    <t>MR. GHALIB THANI KHALEEF AL AMRI</t>
  </si>
  <si>
    <t>Invoice/BON/April_2025/046</t>
  </si>
  <si>
    <t xml:space="preserve">MR. AHMED SALEH YASIR SULTAN AL RASHIDI </t>
  </si>
  <si>
    <t>Invoice/BON/April_2025/047</t>
  </si>
  <si>
    <t>Invoice/BON/April_2025/048</t>
  </si>
  <si>
    <t>MR. NABEEL ABDULLAH MALLAN AL BALUSHI</t>
  </si>
  <si>
    <t>Invoice/BON/April_2025/049</t>
  </si>
  <si>
    <t>lum/10</t>
  </si>
  <si>
    <t>Invoice/BON/April_2025/050</t>
  </si>
  <si>
    <t>MR. SALIM NASSER MOHAMMED AL SHUKAILI</t>
  </si>
  <si>
    <t>Invoice/BON/April_2025/053</t>
  </si>
  <si>
    <t>MRS. AISHA JABAR ABID AL ABRI</t>
  </si>
  <si>
    <t>Invoice/BON/April_2025/054</t>
  </si>
  <si>
    <t>Invoice/BON/April_2025/055</t>
  </si>
  <si>
    <t>MAY MONTH INVOICES</t>
  </si>
  <si>
    <t xml:space="preserve">MR.NASEER SAID NASEER AL SAWAFI </t>
  </si>
  <si>
    <t>Invoice/Bon/May_2024/001</t>
  </si>
  <si>
    <t>MR. MOHAMMED SALEH YASIR SULTAN AL-RASHIDI</t>
  </si>
  <si>
    <t>Invoice/Bon/May_2024/011</t>
  </si>
  <si>
    <t>MR. YOUSUF RASHID SALIM AL NAABI</t>
  </si>
  <si>
    <t>Invoice/Bon/May_2024/015</t>
  </si>
  <si>
    <t>MR.ABDULLAH KHALFAN SALIM AL - MUSALHI</t>
  </si>
  <si>
    <t>Invoice/Bon/May_2024/035</t>
  </si>
  <si>
    <t>MONTH MAY -2025</t>
  </si>
  <si>
    <t>Mr. Motasim Mohammed Murad Al Balushi</t>
  </si>
  <si>
    <t>Invoice/BC/May 2024/037</t>
  </si>
  <si>
    <t>Received-in-june</t>
  </si>
  <si>
    <t>MR. SULAIMAN BIN SOUD BIN ALI AL BIMANI</t>
  </si>
  <si>
    <t>Invoice/BC/May 2024/038</t>
  </si>
  <si>
    <t>MR. ALI MAHMOOD ALI AL BALUSHI</t>
  </si>
  <si>
    <t>Invoice/BC/May 2024/039</t>
  </si>
  <si>
    <t>Invoice/BC/May 2024/040</t>
  </si>
  <si>
    <t>MR. TARIQ ABDEEN SHAMBEH AL BALUSHI</t>
  </si>
  <si>
    <t>rec. on 03.07.24</t>
  </si>
  <si>
    <t>Invoice/BON/May_2025/001</t>
  </si>
  <si>
    <t>khadija al jardani</t>
  </si>
  <si>
    <t>The Modern Knowledge Seas</t>
  </si>
  <si>
    <t>Invoice/BC/May 2024/041</t>
  </si>
  <si>
    <t>MR. FAISAL ABDULLAH SHAIKHAN AL DHAHLI</t>
  </si>
  <si>
    <t>Invoice/BON/May_2025/012</t>
  </si>
  <si>
    <t>QURIYAT</t>
  </si>
  <si>
    <t xml:space="preserve">MRS. SHAMSA RASHEED WALEED AL BUSAIDI </t>
  </si>
  <si>
    <t>Invoice/BON/May_2025/013</t>
  </si>
  <si>
    <t>Invoice/BON/May_2025/014</t>
  </si>
  <si>
    <t>Invoice/BC/May 2024/042</t>
  </si>
  <si>
    <t>Invoice/BON/May_2025/015</t>
  </si>
  <si>
    <t>MR. IBRAHIM SULTAN MOHAMED AL AAMRI</t>
  </si>
  <si>
    <t>Invoice/BON/May_2025/016</t>
  </si>
  <si>
    <t>Invoice/BC/May 2024/043</t>
  </si>
  <si>
    <t>Invoice/BON/May_2025/025</t>
  </si>
  <si>
    <t>Invoice/BON/May_2025/026</t>
  </si>
  <si>
    <t>Invoice/BON/May_2025/036</t>
  </si>
  <si>
    <t>Invoice/BON/May_2025/037</t>
  </si>
  <si>
    <t>Invoice/BON/May_2025/038</t>
  </si>
  <si>
    <t>Invoice/BC/May 2024/044</t>
  </si>
  <si>
    <t>Invoice/BON/May_2025/039</t>
  </si>
  <si>
    <t>MR. ADIL IBRAHIM JANAN AL BALUSHI</t>
  </si>
  <si>
    <t>Invoice/BON/May_2025/040</t>
  </si>
  <si>
    <t>Invoice/BON/May_2025/041</t>
  </si>
  <si>
    <t>Invoice/BC/May 2024/045</t>
  </si>
  <si>
    <t>mohammad al alawi</t>
  </si>
  <si>
    <t>Invoice/BON/May_2025/042</t>
  </si>
  <si>
    <t>Invoice/BON/May_2025/043</t>
  </si>
  <si>
    <t>Invoice/BC/May 2024/046</t>
  </si>
  <si>
    <t>Invoice/BON/May_2025/044</t>
  </si>
  <si>
    <t>MR. ESSA SALIM MOHAMMED SALIM AL JABRI</t>
  </si>
  <si>
    <t>Invoice/BON/May_2025/045</t>
  </si>
  <si>
    <t>MR. RASHID AHMED ZAHRAN AL RIYAMI</t>
  </si>
  <si>
    <t>Invoice/BON/May_2025/046</t>
  </si>
  <si>
    <t>Invoice/BC/May 2024/047</t>
  </si>
  <si>
    <t>Invoice/BON/May_2025/047</t>
  </si>
  <si>
    <t>Invoice/BON/May_2025/048</t>
  </si>
  <si>
    <t>MR. MOHAMMED ABDULLAH SULTAN AL BUSAIDI</t>
  </si>
  <si>
    <t>Invoice/BON/May_2025/049</t>
  </si>
  <si>
    <t>Invoice/BC/May 2024/048</t>
  </si>
  <si>
    <t>MRS. BUSHRA BINT SAIF BIN HUMAIR AL SHUKAILI</t>
  </si>
  <si>
    <t>Invoice/BON/May_2025/050</t>
  </si>
  <si>
    <t>Invoice/BON/May_2025/051</t>
  </si>
  <si>
    <t>Invoice/BON/May_2025/052</t>
  </si>
  <si>
    <t>Invoice/BC/May 2024/049</t>
  </si>
  <si>
    <t>said al shuhumi</t>
  </si>
  <si>
    <t>MR. HILAL SAID ZAHRAN AL SHAQSI</t>
  </si>
  <si>
    <t>Invoice/BC/May 2024/050</t>
  </si>
  <si>
    <t>Invoice/BON/May_2025/053</t>
  </si>
  <si>
    <t>MR. AHMED MUSABAH MOHAMMED AL SAIDI</t>
  </si>
  <si>
    <t>Invoice/BON/May_2025/054</t>
  </si>
  <si>
    <t>Invoice/BON/May_2025/057</t>
  </si>
  <si>
    <t>Invoice/BON/May_2025/060</t>
  </si>
  <si>
    <t>Invoice/BC/May 2024/051</t>
  </si>
  <si>
    <t>Invoice/BC/May 2024/052</t>
  </si>
  <si>
    <t>salim juma al siyabi</t>
  </si>
  <si>
    <t>Invoice/BC/May 2024/053</t>
  </si>
  <si>
    <t>MONTH JUNE -2025</t>
  </si>
  <si>
    <t>Invoice/BC/May 2024/054</t>
  </si>
  <si>
    <t>REVISED TO 90</t>
  </si>
  <si>
    <t>Invoice/BC/May 2024/055</t>
  </si>
  <si>
    <t>mohammed al faraji</t>
  </si>
  <si>
    <t>Invoice/BC/May 2024/056</t>
  </si>
  <si>
    <t>JUNE MONTH INVOICES</t>
  </si>
  <si>
    <t>Invoice/BC/May 2024/057</t>
  </si>
  <si>
    <t>MR. MUNTHER KHALFAN SALIM AL YAHYAI</t>
  </si>
  <si>
    <t>Invoice/BON/June_2025/001</t>
  </si>
  <si>
    <t>MR. MOHAMMED KHALFAN MOAHMMED AL HASNI</t>
  </si>
  <si>
    <t>Invoice/BON/June_2025/003</t>
  </si>
  <si>
    <t>MR. FAISAL SAOUD HAMED AL AMRI</t>
  </si>
  <si>
    <t>Invoice/BON/June_2025/007</t>
  </si>
  <si>
    <t>MR. MOHAMMED KHALFAN MUBARAK AL AMRI</t>
  </si>
  <si>
    <t>Invoice/BON/June_2025/008</t>
  </si>
  <si>
    <t>Invoice/BC/May 2024/058</t>
  </si>
  <si>
    <t>Invoice/BON/June_2025/009</t>
  </si>
  <si>
    <t>Invoice/BC/May 2024/059</t>
  </si>
  <si>
    <t>abdullah rashid al faraji</t>
  </si>
  <si>
    <t>Invoice/BC/May 2024/060</t>
  </si>
  <si>
    <t>Invoice/BC/May 2024/061</t>
  </si>
  <si>
    <t>MONTH JULY -2025</t>
  </si>
  <si>
    <t>Mr. Nabil Mubarak Marhoun Al Jabri</t>
  </si>
  <si>
    <t>JULY MONTH INVOICES</t>
  </si>
  <si>
    <t>Invoice/BON/July_2025/013</t>
  </si>
  <si>
    <t>Invoice/BON/July_2025/014</t>
  </si>
  <si>
    <t>Invoice/BON/July_2025/015</t>
  </si>
  <si>
    <t>ded-10</t>
  </si>
  <si>
    <t>Mr.Asad Harith Muhammad Al Riyami</t>
  </si>
  <si>
    <t>Invoice/BON/July_2025/016</t>
  </si>
  <si>
    <t>MR. HAFIDH SAID SULTAN AL BUSAIDI</t>
  </si>
  <si>
    <t>Al Faiq National Projects LLC</t>
  </si>
  <si>
    <t>Invoice/BON/July_2025/017</t>
  </si>
  <si>
    <t>Invoice/BON/July_2025/018</t>
  </si>
  <si>
    <t>Wadi mistal</t>
  </si>
  <si>
    <t>Invoice/BON/July_2025/019</t>
  </si>
  <si>
    <t>Invoice/BON/July_2025/020</t>
  </si>
  <si>
    <t>Invoice/BON/July_2025/021</t>
  </si>
  <si>
    <t>Invoice/BON/July_2025/022</t>
  </si>
  <si>
    <t>MR. FAISAL KHAMIS HAMOOD AL YAHAYEE</t>
  </si>
  <si>
    <t>Invoice/BON/July_2025/023</t>
  </si>
  <si>
    <t>MONTH JUNE -2024</t>
  </si>
  <si>
    <t>Invoice/BON/July_2025/024</t>
  </si>
  <si>
    <t>Invoice/BON/July_2025/025</t>
  </si>
  <si>
    <t>Invoice/BON/July_2025/026</t>
  </si>
  <si>
    <t>Invoice/BON/July_2025/027</t>
  </si>
  <si>
    <t>Invoice/BON/July_2025/028</t>
  </si>
  <si>
    <t>Ahmed Bin Abdullah Bin Hamed Al Balushi</t>
  </si>
  <si>
    <t>MED Rana Enterprises LLC</t>
  </si>
  <si>
    <t>Invoice/BON/July_2025/029</t>
  </si>
  <si>
    <t>MR. HAITHAM MOHAMMED YOUSUF AL AGHBARI</t>
  </si>
  <si>
    <t>Invoice/BON/July_2025/030</t>
  </si>
  <si>
    <t>Invoice/BON/July_2025/031</t>
  </si>
  <si>
    <t>Invoice/BON/July_2025/032</t>
  </si>
  <si>
    <t>Invoice/BON/July_2025/033</t>
  </si>
  <si>
    <t>Invoice/BON/July_2025/034</t>
  </si>
  <si>
    <t>MRS. RUQIYA HAMDAN SALIM AL TAMIMI</t>
  </si>
  <si>
    <t>Invoice/BON/July_2025/035</t>
  </si>
  <si>
    <t>Invoice/BON/July_2025/036</t>
  </si>
  <si>
    <t>Invoice/BON/July_2025/037</t>
  </si>
  <si>
    <t>Invoice/BON/July_2025/038</t>
  </si>
  <si>
    <t>Invoice/BON/July_2025/039</t>
  </si>
  <si>
    <t>Invoice/BON/July_2025/040</t>
  </si>
  <si>
    <t>Mr. Maiya Abdullah Mohammed Saif Al Aghbahri</t>
  </si>
  <si>
    <t>Invoice/BON/July_2025/041</t>
  </si>
  <si>
    <t>Invoice/BON/July_2025/042</t>
  </si>
  <si>
    <t xml:space="preserve">MR. SALIM MOHAMMED SALIM AL JABRI  </t>
  </si>
  <si>
    <t>Invoice/BON/July_2025/043</t>
  </si>
  <si>
    <t>MR. RABIA RASHID SULAIMAN AL SIYABI</t>
  </si>
  <si>
    <t>Invoice/BON/July_2025/044</t>
  </si>
  <si>
    <t xml:space="preserve">MR. FAHAD ABDULLAH SULAIMAN AL MAAMRI </t>
  </si>
  <si>
    <t>Invoice/BON/July_2025/045</t>
  </si>
  <si>
    <t>Invoice/BC/June 2024/010</t>
  </si>
  <si>
    <t xml:space="preserve">MR. BADAR SHAIKHAN HAMED AL ABDALI </t>
  </si>
  <si>
    <t>Invoice/BON/July_2025/046</t>
  </si>
  <si>
    <t xml:space="preserve">MRS. LAILA ALI MOHAMMED AL – RASHDI </t>
  </si>
  <si>
    <t>Invoice/BON/July_2025/047</t>
  </si>
  <si>
    <t xml:space="preserve">MR. ILYAS SULAIMAN MOHAMMED AL MAHRUQI </t>
  </si>
  <si>
    <t>Invoice/BON/July_2025/048</t>
  </si>
  <si>
    <t xml:space="preserve">MR. YOUNIS KHALIFA ALI AL GHAFRI </t>
  </si>
  <si>
    <t>Invoice/BON/July_2025/049</t>
  </si>
  <si>
    <t>Invoice/BC/June 2024/021</t>
  </si>
  <si>
    <t>ZAYID IBAHIM AL SAADI</t>
  </si>
  <si>
    <t>MR. OMAR SAIF SAID AL MAMARI</t>
  </si>
  <si>
    <t>Invoice/BON/July_2025/050</t>
  </si>
  <si>
    <t>Invoice/BON/July_2025/051</t>
  </si>
  <si>
    <t>rec. on 01.07.24</t>
  </si>
  <si>
    <t>Invoice/BON/July_2025/052</t>
  </si>
  <si>
    <t>Invoice/BON/July_2025/078</t>
  </si>
  <si>
    <t>H.H. AL SAYYID ADHAM TARIQ TAIMUR AAL SAID</t>
  </si>
  <si>
    <t>Invoice/BC/June 2024/022</t>
  </si>
  <si>
    <t>Invoice/BON/July_2025/079</t>
  </si>
  <si>
    <t>MR. AHMED RASHID AHMED AL MASKARI</t>
  </si>
  <si>
    <t>Invoice/BC/June 2024/023</t>
  </si>
  <si>
    <t>rec. on 16.07.24</t>
  </si>
  <si>
    <t>Invoice/BC/June 2024/024</t>
  </si>
  <si>
    <t>rec. on 02.07.24</t>
  </si>
  <si>
    <t xml:space="preserve">MR. MUSTAFA MOHAMMED MUBARAK AL YUSUFI </t>
  </si>
  <si>
    <t>Invoice/BC/June 2024/025</t>
  </si>
  <si>
    <t>MONTH AUGUST -2025</t>
  </si>
  <si>
    <t>Invoice/BC/June 2024/026</t>
  </si>
  <si>
    <t>Dream villa(block1-11)</t>
  </si>
  <si>
    <t>rec. on 06.07.24</t>
  </si>
  <si>
    <t>DREAM VILLA</t>
  </si>
  <si>
    <t>Solthan haitham</t>
  </si>
  <si>
    <t>Invoice/BC/June 2024/027</t>
  </si>
  <si>
    <t>Invoice/BC/June 2024/028</t>
  </si>
  <si>
    <t>Invoice/BC/June 2024/029</t>
  </si>
  <si>
    <t>AUGUST MONTH INVOICES</t>
  </si>
  <si>
    <t xml:space="preserve">MRS. KHADIJA NASSER SULEIMAN AL – JAMI </t>
  </si>
  <si>
    <t>rec. on 08.07.24</t>
  </si>
  <si>
    <t>Invoice/BON/August_2025/001</t>
  </si>
  <si>
    <t>Invoice/BON/August_2025/014</t>
  </si>
  <si>
    <t>Invoice/BC/June 2024/030</t>
  </si>
  <si>
    <t>Invoice/BON/August_2025/021</t>
  </si>
  <si>
    <t>Dream villa(mockup villa)</t>
  </si>
  <si>
    <t>Invoice/BON/August_2025/023</t>
  </si>
  <si>
    <t>Invoice/BC/June 2024/031</t>
  </si>
  <si>
    <t>Invoice/BON/August_2025/024</t>
  </si>
  <si>
    <t>Invoice/BC/June 2024/032</t>
  </si>
  <si>
    <t>Invoice/BON/August_2025/025</t>
  </si>
  <si>
    <t>Invoice/BON/August_2025/026</t>
  </si>
  <si>
    <t>Invoice/BC/June 2024/051</t>
  </si>
  <si>
    <t>Invoice/BON/August_2025/027</t>
  </si>
  <si>
    <t>Invoice/BON/August_2025/028</t>
  </si>
  <si>
    <t>MR. NASSER ABDULLAH SAID AL HOSNI</t>
  </si>
  <si>
    <t>Invoice/BON/August_2025/029</t>
  </si>
  <si>
    <t>Invoice/BON/August_2025/030</t>
  </si>
  <si>
    <t>Invoice/BON/August_2025/031</t>
  </si>
  <si>
    <t>Invoice/BON/August_2025/032</t>
  </si>
  <si>
    <t>MONTH JULY -2024</t>
  </si>
  <si>
    <t>Invoice/BON/August_2025/033</t>
  </si>
  <si>
    <t>Invoice/BON/August_2025/034</t>
  </si>
  <si>
    <t>Mr. Hilal Al Amri</t>
  </si>
  <si>
    <t>paya bana</t>
  </si>
  <si>
    <t>Invoice/BON/August_2025/035</t>
  </si>
  <si>
    <t>Al Manuma</t>
  </si>
  <si>
    <t>Invoice/BON/August_2025/036</t>
  </si>
  <si>
    <t>Invoice/BON/August_2025/037</t>
  </si>
  <si>
    <t xml:space="preserve">MR. DARWISH ABDALLAH SALIM AL HINAI </t>
  </si>
  <si>
    <t>Invoice/BON/August_2025/038</t>
  </si>
  <si>
    <t>Invoice/BON/August_2025/039</t>
  </si>
  <si>
    <t xml:space="preserve">MR. MOOSA YOUSUF SAIF AL AGHBARI </t>
  </si>
  <si>
    <t>Invoice/BON/August_2025/040</t>
  </si>
  <si>
    <t>Invoice/BON/August_2025/041</t>
  </si>
  <si>
    <t xml:space="preserve">MR.MOHAMED NAWAZ GHULAM RASOOL AL </t>
  </si>
  <si>
    <t>Invoice/BC/JULY 2024/003</t>
  </si>
  <si>
    <t>MR. ADIL &amp; FAHAD MOHAMMED AL AMRI</t>
  </si>
  <si>
    <t>Invoice/BON/August_2025/042</t>
  </si>
  <si>
    <t>MRS. BADARIYA ALI IBRAHIM AL BALUSHI</t>
  </si>
  <si>
    <t>Invoice/BC/JULY 2024/012</t>
  </si>
  <si>
    <t>Invoice/BON/August_2025/043</t>
  </si>
  <si>
    <t>Invoice/BON/August_2025/044</t>
  </si>
  <si>
    <t xml:space="preserve">MR. HASSAN SAID KHALFAN AL HARRASI  </t>
  </si>
  <si>
    <t>Invoice/BON/August_2025/045</t>
  </si>
  <si>
    <t>ALI SULAIMAN AHMED AL RAWAHI</t>
  </si>
  <si>
    <t>Invoice/BC/JULY 2024/013</t>
  </si>
  <si>
    <t>Invoice/BON/August_2025/046</t>
  </si>
  <si>
    <t>Invoice/BON/August_2025/047</t>
  </si>
  <si>
    <t xml:space="preserve">MR. FAISAL ABDULLA SHAIKHAN AL DHAHLI </t>
  </si>
  <si>
    <t>Invoice/BC/JULY 2024/014</t>
  </si>
  <si>
    <t>MR. AMMAR SHAMBEH IBRAHIM AL BALUSHI</t>
  </si>
  <si>
    <t>Invoice/BON/August_2025/048</t>
  </si>
  <si>
    <t xml:space="preserve">MR. JULANDA SAIF AMUR AL MAAWALI </t>
  </si>
  <si>
    <t>Invoice/BON/August_2025/049</t>
  </si>
  <si>
    <t>MR. MOHAMMED ALI MOHAMMED AL KALBANI</t>
  </si>
  <si>
    <t>Invoice/BON/August_2025/050</t>
  </si>
  <si>
    <t xml:space="preserve">MRS. HIND MOHAMMED MAJID AL SAIFI </t>
  </si>
  <si>
    <t>Invoice/BON/August_2025/051</t>
  </si>
  <si>
    <t>Mr. Karam Mahmood Muhammed Al Balushi</t>
  </si>
  <si>
    <t>Invoice/BON/August_2025/083</t>
  </si>
  <si>
    <t>MR. AMEER MOHAMMED ALI AL HADIDI</t>
  </si>
  <si>
    <t>Al Artaqaa</t>
  </si>
  <si>
    <t>Invoice/BON/July_2024/017</t>
  </si>
  <si>
    <t>Invoice/BON/August_2025/084</t>
  </si>
  <si>
    <t>Invoice/BON/August_2025/085</t>
  </si>
  <si>
    <t>Invoice/BON/July_2024/023</t>
  </si>
  <si>
    <t>MR. SAID ABDULLAH ATAY AL RIYAMI</t>
  </si>
  <si>
    <t>Invoice/BON/July_2024/024</t>
  </si>
  <si>
    <t>Invoice/BON/July_2024/025</t>
  </si>
  <si>
    <t>Invoice/BON/July_2024/026</t>
  </si>
  <si>
    <t>Invoice/BON/July_2024/027</t>
  </si>
  <si>
    <t>Invoice/BON/July_2024/028</t>
  </si>
  <si>
    <t>MONTH SEPTEMBER -2025</t>
  </si>
  <si>
    <t>MR. ABDUL AZIZ SAIF KHASIB AL-HABSI</t>
  </si>
  <si>
    <t>Invoice/BON/July_2024/029</t>
  </si>
  <si>
    <t>Invoice/BON/July_2024/030</t>
  </si>
  <si>
    <t>Invoice/BON/July_2024/031</t>
  </si>
  <si>
    <t>Invoice/BON/July_2024/032</t>
  </si>
  <si>
    <t>Invoice/BON/July_2024/033</t>
  </si>
  <si>
    <t>SEPTEMBER MONTH INVOICES</t>
  </si>
  <si>
    <t>Invoice/BON/July_2024/034</t>
  </si>
  <si>
    <t>MR. AYMAN YAHAYA KHAMIS AL KHARBOOSHI</t>
  </si>
  <si>
    <t>Invoice/BON/Sep_2025/006</t>
  </si>
  <si>
    <t>Invoice/BON/July_2024/035</t>
  </si>
  <si>
    <t>H.H. SAYYID ADAHM BIN TARIQ AL - SAID</t>
  </si>
  <si>
    <t>Invoice/BON/Sep_2025/008</t>
  </si>
  <si>
    <t>Mr.SALIM ALI NASSER AL SIYABI</t>
  </si>
  <si>
    <t>Invoice/BON/July_2024/036</t>
  </si>
  <si>
    <t>Invoice/BON/Sep_2025/012</t>
  </si>
  <si>
    <t>Invoice/BON/July_2024/037</t>
  </si>
  <si>
    <t>MR. YOUSUF SALIM KHAMIS AL RAWAHI</t>
  </si>
  <si>
    <t>Invoice/BON/Sep_2025/013</t>
  </si>
  <si>
    <t>lum/7</t>
  </si>
  <si>
    <t>Invoice/BON/July_2024/038</t>
  </si>
  <si>
    <t>Invoice/BON/Sep_2025/015</t>
  </si>
  <si>
    <t>MR. FAISAL SAID SAIF AL MANJI</t>
  </si>
  <si>
    <t>Invoice/BON/July_2024/039</t>
  </si>
  <si>
    <t>Invoice/BON/Sep_2025/016</t>
  </si>
  <si>
    <t>Invoice/BON/Sep_2025/017</t>
  </si>
  <si>
    <t>Invoice/BON/July_2024/040</t>
  </si>
  <si>
    <t>Invoice/BON/Sep_2025/019</t>
  </si>
  <si>
    <t>Invoice/BON/July_2024/041</t>
  </si>
  <si>
    <t>Invoice/BON/Sep_2025/020</t>
  </si>
  <si>
    <t>MR. JIHAD ZAHIR HAMOUDH AL-SALMI</t>
  </si>
  <si>
    <t>Invoice/BON/July_2024/064</t>
  </si>
  <si>
    <t>MR. ABDULLAH ALI SAID AL ABRI</t>
  </si>
  <si>
    <t>Invoice/BON/Sep_2025/021</t>
  </si>
  <si>
    <t>Invoice/BON/July_2024/065</t>
  </si>
  <si>
    <t>MR. SAIF RASHID SAIF AL DHAMRY</t>
  </si>
  <si>
    <t>MR. AHMED MOHAMED KHAMIS AL JABRI</t>
  </si>
  <si>
    <t>manazil al muhafidha al jadida</t>
  </si>
  <si>
    <t>Invoice/BON/July_2024/066</t>
  </si>
  <si>
    <t>lum/8</t>
  </si>
  <si>
    <t>Invoice/BON/Sep_2025/024</t>
  </si>
  <si>
    <t>Invoice/BON/Sep_2025/027</t>
  </si>
  <si>
    <t>Invoice/BON/Sep_2025/028</t>
  </si>
  <si>
    <t>MR. KARAM MAHMOOD MUHAMMED AL BALUSHI</t>
  </si>
  <si>
    <t>Invoice/BON/Sep_2025/029</t>
  </si>
  <si>
    <t>MONTH AUGUST -2024</t>
  </si>
  <si>
    <t>MR. MALIK ABDULLAH KHAMIS AL HADIDI</t>
  </si>
  <si>
    <t>Invoice/BON/Sep_2025/030</t>
  </si>
  <si>
    <t>Invoice/BON/Sep_2025/031</t>
  </si>
  <si>
    <t>Invoice/BON/Sep_2025/033</t>
  </si>
  <si>
    <t>abdullah al darmaki</t>
  </si>
  <si>
    <t>Invoice/BON/Sep_2025/034</t>
  </si>
  <si>
    <t>Invoice/BON/Sep_2025/035</t>
  </si>
  <si>
    <t>Invoice/BON/Sep_2025/036</t>
  </si>
  <si>
    <t>Invoice/BON/Sep_2025/037</t>
  </si>
  <si>
    <t>MR.SAIF SAID ALI AL SALHI</t>
  </si>
  <si>
    <t>Invoice/BON/Aug_2024/006</t>
  </si>
  <si>
    <t>Invoice/BON/Sep_2025/038</t>
  </si>
  <si>
    <t>Invoice/BON/Sep_2025/039</t>
  </si>
  <si>
    <t>Invoice/BON/Sep_2025/040</t>
  </si>
  <si>
    <t>MR.FAHAD SALIM MOHAMMED AL GHAFRI</t>
  </si>
  <si>
    <t>Invoice/BON/Aug_2024/007</t>
  </si>
  <si>
    <t>Invoice/BON/Sep_2025/041</t>
  </si>
  <si>
    <t>MR. MOHAMMED SULAIMAN AL RASHIDID</t>
  </si>
  <si>
    <t>MR.NASSER AMUR AL SUBHI</t>
  </si>
  <si>
    <t>Invoice/BON/Aug_2024/009</t>
  </si>
  <si>
    <t>Invoice/BON/Sep_2025/042</t>
  </si>
  <si>
    <t>MR.SAIF RASHID SAIF AL DHAMRY</t>
  </si>
  <si>
    <t>Invoice/BON/Aug_2024/022</t>
  </si>
  <si>
    <t>4 times</t>
  </si>
  <si>
    <t>40-ded</t>
  </si>
  <si>
    <t>MR.SAID ALI SAIF AL RASHIDI</t>
  </si>
  <si>
    <t>Invoice/BON/Sep_2025/043</t>
  </si>
  <si>
    <t>Invoice/BON/Aug_2024/023</t>
  </si>
  <si>
    <t>Invoice/BON/Sep_2025/044</t>
  </si>
  <si>
    <t>MR.MARYAM SALEH KHALFAN AL BAKRI</t>
  </si>
  <si>
    <t>Invoice/BON/Aug_2024/024</t>
  </si>
  <si>
    <t>MR.ADIL IBRAHIM JANAN AL BALUSHI</t>
  </si>
  <si>
    <t>Invoice/BON/Aug_2024/025</t>
  </si>
  <si>
    <t>Invoice/BON/Sep_2025/045</t>
  </si>
  <si>
    <t>MRS.EMAN SAID ALI AL SAWAFI</t>
  </si>
  <si>
    <t>Invoice/BON/Aug_2024/026</t>
  </si>
  <si>
    <t>MR.FAISAL SAIF ZAYID AL HOSNI</t>
  </si>
  <si>
    <t>Invoice/BON/Sep_2025/046</t>
  </si>
  <si>
    <t>Invoice/BON/Aug_2024/027</t>
  </si>
  <si>
    <t>MR. OMAR ABDULLAH HUMAID AL HINAI</t>
  </si>
  <si>
    <t>9333 4027</t>
  </si>
  <si>
    <t>al atqan al arabia</t>
  </si>
  <si>
    <t>MR.ALI MAHMOOD ALI AL BALUSHI</t>
  </si>
  <si>
    <t>Invoice/BON/Sep_2025/047</t>
  </si>
  <si>
    <t>Al Haram</t>
  </si>
  <si>
    <t>Invoice/BON/Aug_2024/028</t>
  </si>
  <si>
    <t>50B</t>
  </si>
  <si>
    <t>Invoice/BON/Aug_2024/029</t>
  </si>
  <si>
    <t>Invoice/BON/Sep_2025/048</t>
  </si>
  <si>
    <t>MR.WALEED SAIF ZAYID AL HOSNI</t>
  </si>
  <si>
    <t>Invoice/BON/Aug_2024/030</t>
  </si>
  <si>
    <t>MR. MOHAMMED KHALFAN AL HASNI</t>
  </si>
  <si>
    <t>Invoice/BON/Sep_2025/049</t>
  </si>
  <si>
    <t>MRS.KAWLA WALEED AHMED MAIMANI</t>
  </si>
  <si>
    <t>Invoice/BON/Aug_2024/031</t>
  </si>
  <si>
    <t>Invoice/BON/Sep_2025/050</t>
  </si>
  <si>
    <t>MR.TALIB MOHAMMED KHALFAN AL KHATRI</t>
  </si>
  <si>
    <t>Invoice/BON/Aug_2024/032</t>
  </si>
  <si>
    <t>MR.BUSHRA HAMOOD SAID AL SINANI</t>
  </si>
  <si>
    <t>Invoice/BON/Aug_2024/033</t>
  </si>
  <si>
    <t>MR. GHULAM ALI ABDULLAH AL BALUSHI</t>
  </si>
  <si>
    <t>Invoice/BON/Sep_2025/051</t>
  </si>
  <si>
    <t>25 ded</t>
  </si>
  <si>
    <t>MR.HAMED KHALFAN HAMOOD AL AMRI</t>
  </si>
  <si>
    <t>Invoice/BON/Aug_2024/034</t>
  </si>
  <si>
    <t>MR. SAJDA ABDUL  ABDUL HAMED AL BALUSHI</t>
  </si>
  <si>
    <t>Invoice/BON/Sep_2025/052</t>
  </si>
  <si>
    <t>abu waleed &amp;partners trad</t>
  </si>
  <si>
    <t>MR.MAHMOOD KHALIFA ALI AL NABHANI</t>
  </si>
  <si>
    <t>Invoice/BON/Sep_2025/053</t>
  </si>
  <si>
    <t>Invoice/BON/Aug_2024/035</t>
  </si>
  <si>
    <t>Invoice/BON/Sep_2025/054</t>
  </si>
  <si>
    <t xml:space="preserve">MR.MOOSA SAID MOHAMMED AL SUBHI </t>
  </si>
  <si>
    <t>Invoice/BON/Aug_2024/036</t>
  </si>
  <si>
    <t>Invoice/BON/Sep_2025/055</t>
  </si>
  <si>
    <t>MR.AMEER AWADH SALIM AL RAWAS</t>
  </si>
  <si>
    <t>Invoice/BON/Sep_2025/056</t>
  </si>
  <si>
    <t>Invoice/BON/Aug_2024/037</t>
  </si>
  <si>
    <t>Invoice/BON/Sep_2025/057</t>
  </si>
  <si>
    <t>MR.FAHAD MAHMOOD MAZAR AL ZADJALI</t>
  </si>
  <si>
    <t>Invoice/BON/Aug_2024/038</t>
  </si>
  <si>
    <t>Invoice/BON/Sep_2025/058</t>
  </si>
  <si>
    <t>MR.SAID NASSER SAID AL KINDI</t>
  </si>
  <si>
    <t>Invoice/BON/Aug_2024/039</t>
  </si>
  <si>
    <t>Invoice/BON/Sep_2025/059</t>
  </si>
  <si>
    <t>Invoice/BON/Aug_2024/040</t>
  </si>
  <si>
    <t>MRS. JUHAINA MOHAMMED HAMOOD AL BUSAIDI</t>
  </si>
  <si>
    <t>Invoice/BON/Sep_2025/060</t>
  </si>
  <si>
    <t xml:space="preserve">Mr. Abdul Rahman Mohammed Sulaiman </t>
  </si>
  <si>
    <t>Bint al Ruzaiqhi Trading</t>
  </si>
  <si>
    <t>Invoice/BON/Sep_2025/061</t>
  </si>
  <si>
    <t>Invoice/BON/Sep_2025/063</t>
  </si>
  <si>
    <t>Invoice/BON/Sep_2025/064</t>
  </si>
  <si>
    <t>MR. AHMED MOHAMMED KHAMIS AL JABRI</t>
  </si>
  <si>
    <t>Invoice/BON/Sep_2025/065</t>
  </si>
  <si>
    <t>MR. SALEH YASLAM SALIM AL MINHALI</t>
  </si>
  <si>
    <t>Invoice/BON/Sep_2025/066</t>
  </si>
  <si>
    <t>MR. ABDULLAH ADIL ABDULLAH AL HINDI</t>
  </si>
  <si>
    <t>Invoice/BON/Sep_2025/086</t>
  </si>
  <si>
    <t>300 not start</t>
  </si>
  <si>
    <t>Invoice/BON/Sep_2025/087</t>
  </si>
  <si>
    <t>MONTH SEPTEMBER -2024</t>
  </si>
  <si>
    <t>MONTH OCTOBER-2025</t>
  </si>
  <si>
    <t>Mr. Muna Khamis Moosa Al Balushi</t>
  </si>
  <si>
    <t>captain island for trad</t>
  </si>
  <si>
    <t>Invoice/BON/Sep_2024/017</t>
  </si>
  <si>
    <t>Invoice/BON/Sep_2024/019</t>
  </si>
  <si>
    <t>Invoice/BON/Sep_2024/020</t>
  </si>
  <si>
    <t>Invoice/BON/Sep_2024/021</t>
  </si>
  <si>
    <t>Invoice/BON/Sep_2024/022</t>
  </si>
  <si>
    <t>Invoice/BON/Sep_2024/023</t>
  </si>
  <si>
    <t>OCTOBER MONTH INVOICES</t>
  </si>
  <si>
    <t>Invoice/BON/Sep_2024/024</t>
  </si>
  <si>
    <t>MR. MOHAMMED JABAR ABID AL ABRI</t>
  </si>
  <si>
    <t>Invoice/BON/Oct_2025/001</t>
  </si>
  <si>
    <t>Invoice/BON/Sep_2024/025</t>
  </si>
  <si>
    <t>MR. SALIM SAUD RASHID AL HAIMALI</t>
  </si>
  <si>
    <t>Invoice/BON/Oct_2025/005</t>
  </si>
  <si>
    <t xml:space="preserve">MR. YAHYA RASHID SULAIMAN AL BIMANI </t>
  </si>
  <si>
    <t>Invoice/BON/Oct_2025/022</t>
  </si>
  <si>
    <t>Mr. Salah Harith Mohammed Al Riyami</t>
  </si>
  <si>
    <t>Invoice/BON/Sep_2024/026</t>
  </si>
  <si>
    <t>Invoice/BON/Oct_2025/023</t>
  </si>
  <si>
    <t>Invoice/BON/Sep_2024/027</t>
  </si>
  <si>
    <t>Invoice/BON/Oct_2025/024</t>
  </si>
  <si>
    <t>Invoice/BON/Sep_2024/028</t>
  </si>
  <si>
    <t>Invoice/BON/Oct_2025/025</t>
  </si>
  <si>
    <t>Invoice/BON/Oct_2025/026</t>
  </si>
  <si>
    <t>Invoice/BON/Sep_2024/029</t>
  </si>
  <si>
    <t>Invoice/BON/Oct_2025/027</t>
  </si>
  <si>
    <t>Invoice/BON/Sep_2024/030</t>
  </si>
  <si>
    <t>Invoice/BON/Oct_2025/028</t>
  </si>
  <si>
    <t>Invoice/BON/Sep_2024/031</t>
  </si>
  <si>
    <t>Invoice/BON/Oct_2025/029</t>
  </si>
  <si>
    <t>Invoice/BON/Sep_2024/032</t>
  </si>
  <si>
    <t xml:space="preserve">MR. HAFIDH SAID SULTAN AL BUSAIDI </t>
  </si>
  <si>
    <t>Invoice/BON/Oct_2025/030</t>
  </si>
  <si>
    <t>Invoice/BON/Sep_2024/033</t>
  </si>
  <si>
    <t xml:space="preserve">MR. MUSTAFA ABDULLAH MALLAH AL BALUSHI </t>
  </si>
  <si>
    <t>Invoice/BON/Oct_2025/031</t>
  </si>
  <si>
    <t>Invoice/BON/Sep_2024/034</t>
  </si>
  <si>
    <t>Invoice/BON/Sep_2024/035</t>
  </si>
  <si>
    <t>Invoice/BON/Sep_2024/036</t>
  </si>
  <si>
    <t>Invoice/BON/Sep_2024/037</t>
  </si>
  <si>
    <t>Invoice/BON/Oct_2025/032</t>
  </si>
  <si>
    <t>Invoice/BON/Sep_2024/038</t>
  </si>
  <si>
    <t>Invoice/BON/Oct_2025/033</t>
  </si>
  <si>
    <t>Invoice/BON/Sep_2024/039</t>
  </si>
  <si>
    <t>CANCEL</t>
  </si>
  <si>
    <t>Invoice/BON/Oct_2025/034</t>
  </si>
  <si>
    <t>Invoice/BON/Oct_2025/035</t>
  </si>
  <si>
    <t xml:space="preserve">MR. MOHAMMED SULAIMAN SAIF AL RASHIDY </t>
  </si>
  <si>
    <t>Invoice/BON/Oct_2025/036</t>
  </si>
  <si>
    <t>Invoice/BON/Oct_2025/037</t>
  </si>
  <si>
    <t>Invoice/BON/Oct_2025/038</t>
  </si>
  <si>
    <t>Invoice/BON/Oct_2025/039</t>
  </si>
  <si>
    <t>Invoice/BON/Oct_2025/040</t>
  </si>
  <si>
    <t>MR. MASAUD ISSA SALIM AL HARTHY</t>
  </si>
  <si>
    <t>Invoice/BON/Oct_2025/041</t>
  </si>
  <si>
    <t>khalid hamad al hanaei</t>
  </si>
  <si>
    <t>Invoice/BON/Oct_2025/042</t>
  </si>
  <si>
    <t>MR. MOHAMMED KHALFAN AHMED AL SHAAIBI</t>
  </si>
  <si>
    <t>Invoice/BON/Oct_2025/043</t>
  </si>
  <si>
    <t>Invoice/BON/Oct_2025/044</t>
  </si>
  <si>
    <t>MONTH OCTOBER -2024</t>
  </si>
  <si>
    <t>Invoice/BON/Oct_2025/045</t>
  </si>
  <si>
    <t>Invoice/BON/Oct_2025/077</t>
  </si>
  <si>
    <t>MR. MOHAMMED MARHOON MOAHMMED AL ABRI</t>
  </si>
  <si>
    <t>Invoice/BON/Oct_2025/078</t>
  </si>
  <si>
    <t>Invoice/BON/Oct_2025/080</t>
  </si>
  <si>
    <t>MR. SULIAMN AL SAGHIR KILAIB AL FAZARI</t>
  </si>
  <si>
    <t>DWAHYSYA LLT JRT WALMQAWLAT SPI</t>
  </si>
  <si>
    <t>MRS.MARYAM SALEH KHALFAN AL BAKRI</t>
  </si>
  <si>
    <t>Invoice/BON/Oct_2024/002</t>
  </si>
  <si>
    <t>MONTH NOVEMBER-2025</t>
  </si>
  <si>
    <t>FATIMA MOOSA IBRAHIM AL BALUSHI</t>
  </si>
  <si>
    <t>Invoice/BON/Oct_2024/025</t>
  </si>
  <si>
    <t>MR.SULAIMAN KHALIFA MUBARAK AL HATMI</t>
  </si>
  <si>
    <t>Invoice/BON/Oct_2024/026</t>
  </si>
  <si>
    <t>MR.RASHID SALIM SAIF AL HADIDI</t>
  </si>
  <si>
    <t>Invoice/BON/Oct_2024/027</t>
  </si>
  <si>
    <t>MR.SALEH SALIM HUMAID AL RUQAISHI</t>
  </si>
  <si>
    <t>Invoice/BON/Oct_2024/028</t>
  </si>
  <si>
    <t>MR.GHALIB THANI KHALEEF AL AMRI</t>
  </si>
  <si>
    <t>Invoice/BON/Oct_2024/029</t>
  </si>
  <si>
    <t>MR.AHMED SAIF KHALFAN AL AMRI</t>
  </si>
  <si>
    <t>Invoice/BON/Oct_2024/030</t>
  </si>
  <si>
    <t>MR.ZAWWAN SULAIMAN KHALFAN AL HASNI</t>
  </si>
  <si>
    <t>Invoice/BON/Oct_2024/031</t>
  </si>
  <si>
    <t>MR.HAFIDH SAID SULTAN AL BUSAIDI</t>
  </si>
  <si>
    <t>Invoice/BON/Oct_2024/032</t>
  </si>
  <si>
    <t>MRS.AISHA AMUR SALIM AL AMRI</t>
  </si>
  <si>
    <t>Invoice/BON/Oct_2024/033</t>
  </si>
  <si>
    <t>NOVEMEBR MONTH INVOICES</t>
  </si>
  <si>
    <t>MR.SAID MOHAMMED RASHID AL WARDI</t>
  </si>
  <si>
    <t>Invoice/BON/Oct_2024/034</t>
  </si>
  <si>
    <t>MR.YAQOOB KHALIFA  MOHAMMED AL KHALBANI</t>
  </si>
  <si>
    <t>Invoice/BON/Oct_2024/035</t>
  </si>
  <si>
    <t>MR. YOUNIS KHALIFA ALI AL GHAFRI</t>
  </si>
  <si>
    <t>Invoice/BON/Nov_2025/001</t>
  </si>
  <si>
    <t>MR.MASOUD SULAIMAN MASOUD AL FARSI</t>
  </si>
  <si>
    <t>Invoice/BON/Oct_2024/036</t>
  </si>
  <si>
    <t>Invoice/BON/Oct_2024/037</t>
  </si>
  <si>
    <t>Invoice/BON/Oct_2024/038</t>
  </si>
  <si>
    <t>Mr.said Zahar Said al abri</t>
  </si>
  <si>
    <t>Invoice/BON/Nov_2025/013</t>
  </si>
  <si>
    <t>MR.SAID MUBARAK SALEM AL AMRI</t>
  </si>
  <si>
    <t>Invoice/BON/Oct_2024/039</t>
  </si>
  <si>
    <t>MR. ABDULA AZIZ SAIF KHASIB AL-HABSI</t>
  </si>
  <si>
    <t>Invoice/BON/Nov_2025/014</t>
  </si>
  <si>
    <t>MR.SALIM SAUD RASHID AL HAIMALI</t>
  </si>
  <si>
    <t>Invoice/BON/Oct_2024/040</t>
  </si>
  <si>
    <t>Invoice/BON/Nov_2025/015</t>
  </si>
  <si>
    <t>MR.YAHYA RASHID SULAIMAN AL BIMANI</t>
  </si>
  <si>
    <t>Invoice/BON/Oct_2024/041</t>
  </si>
  <si>
    <t>MR.KHAZINA NASER AL ABED AL BOUSAIDY</t>
  </si>
  <si>
    <t>Invoice/BON/Oct_2024/042</t>
  </si>
  <si>
    <t>MR. NASAR NASSER ABDULLAH AL QASSABI</t>
  </si>
  <si>
    <t>Invoice/BON/Nov_2025/029</t>
  </si>
  <si>
    <t>Invoice/BON/Oct_2024/043</t>
  </si>
  <si>
    <t>MR.AHMED RASHID AHMED AL MASKARI</t>
  </si>
  <si>
    <t>Invoice/BON/Oct_2024/044</t>
  </si>
  <si>
    <t>Invoice/BON/Nov_2025/030</t>
  </si>
  <si>
    <t>Invoice/BON/Oct_2024/045</t>
  </si>
  <si>
    <t>MR.MOOSA SAID MOHAMMED AL SUBHI</t>
  </si>
  <si>
    <t>Invoice/BON/Oct_2024/046</t>
  </si>
  <si>
    <t>MR.MOHAMED HAMD AL HINAI</t>
  </si>
  <si>
    <t>Invoice/BON/Oct_2024/047</t>
  </si>
  <si>
    <t>Invoice/BON/Nov_2025/031</t>
  </si>
  <si>
    <t>Mr.Salim Amur Abdullah Tamtami</t>
  </si>
  <si>
    <t>Invoice/BON/Nov_2025/032</t>
  </si>
  <si>
    <t>Invoice/BON/Oct_2024/048</t>
  </si>
  <si>
    <t>Dar Al Mahara</t>
  </si>
  <si>
    <t>Invoice/BON/Nov_2025/033</t>
  </si>
  <si>
    <t>Invoice/BON/Oct_2024/049</t>
  </si>
  <si>
    <t>Invoice/BON/Nov_2025/034</t>
  </si>
  <si>
    <t>lum/9</t>
  </si>
  <si>
    <t>MR.MUTASIM AL HARTHY</t>
  </si>
  <si>
    <t>Invoice/BON/Oct_2024/070</t>
  </si>
  <si>
    <t>Invoice/BON/Nov_2025/035</t>
  </si>
  <si>
    <t>Mr. KHALID HUSSAIN SULAIMAN AL BALUSHI</t>
  </si>
  <si>
    <t>Invoice/BON/Oct_2024/071</t>
  </si>
  <si>
    <t>Invoice/BON/Nov_2025/083</t>
  </si>
  <si>
    <t>Invoice/BON/Nov_2025/084</t>
  </si>
  <si>
    <t>Invoice/BON/Nov_2025/085</t>
  </si>
  <si>
    <t>Invoice/BON/Nov_2025/086</t>
  </si>
  <si>
    <t>Invoice/BON/Nov_2025/087</t>
  </si>
  <si>
    <t>Invoice/BON/Nov_2025/088</t>
  </si>
  <si>
    <t>MONTH NOVEMBER -2024</t>
  </si>
  <si>
    <t>Mr.Abdul raheem al abaidani</t>
  </si>
  <si>
    <t>Invoice/BON/Nov_2025/089</t>
  </si>
  <si>
    <t>Parallax Construction</t>
  </si>
  <si>
    <t>Invoice/BON/Nov_2025/090</t>
  </si>
  <si>
    <t>1st march2026</t>
  </si>
  <si>
    <t>Invoice/BON/Nov_2025/091</t>
  </si>
  <si>
    <t>Invoice/BON/Nov_2025/092</t>
  </si>
  <si>
    <t>Invoice/BON/Nov_2025/093</t>
  </si>
  <si>
    <t>NOVEMBER MONTH INVOICES</t>
  </si>
  <si>
    <t>Invoice/BON/Nov_2025/094</t>
  </si>
  <si>
    <t>MR.ABDULLA ALI MUHAMED AL ZADJALI</t>
  </si>
  <si>
    <t>Invoice/BON/Nov_2024/001</t>
  </si>
  <si>
    <t>Invoice/BON/Nov_2025/095</t>
  </si>
  <si>
    <t>Invoice/BON/Nov_2025/096</t>
  </si>
  <si>
    <t>20 ded</t>
  </si>
  <si>
    <t>MR.ADHAM KHAMIS KHALIFA AL RIYAMI (AJISH)</t>
  </si>
  <si>
    <t>Invoice/BON/Nov_2025/097</t>
  </si>
  <si>
    <t>Invoice/BON/Nov_2024/005</t>
  </si>
  <si>
    <t>MR.HAMED HARIB HAMED AL ALAWI</t>
  </si>
  <si>
    <t>Invoice/BON/Nov_2025/098</t>
  </si>
  <si>
    <t>Invoice/BON/Nov_2024/006</t>
  </si>
  <si>
    <t>MR.MAHRAN ALI AL KHULAIBI - 1 VISIT</t>
  </si>
  <si>
    <t>Invoice/BON/Nov_2024/018</t>
  </si>
  <si>
    <t>Invoice/BON/Nov_2025/099</t>
  </si>
  <si>
    <t>MR.FAISAL - QTY</t>
  </si>
  <si>
    <t>Invoice/BON/Nov_2024/019</t>
  </si>
  <si>
    <t>Invoice/BON/Nov_2024/024</t>
  </si>
  <si>
    <t>Invoice/BON/Nov_2025/100</t>
  </si>
  <si>
    <t>Invoice/BON/Nov_2024/032</t>
  </si>
  <si>
    <t>project may cancel</t>
  </si>
  <si>
    <t>Mr. Nasser Sultan Mohamed</t>
  </si>
  <si>
    <t>M/S. HORIZON REAL ESTATE INVESTMENT CO.</t>
  </si>
  <si>
    <t>Invoice/BON/Nov_2024/033</t>
  </si>
  <si>
    <t>Invoice/BON/Nov_2025/101</t>
  </si>
  <si>
    <t>MUDAIBY</t>
  </si>
  <si>
    <t>Mr. AL YAQTHAN RASHID AL FARSI</t>
  </si>
  <si>
    <t>Invoice/BON/Nov_2024/034</t>
  </si>
  <si>
    <t>OUR CONSTRUCTION  PROJECT</t>
  </si>
  <si>
    <t>Invoice/BON/Nov_2025/102</t>
  </si>
  <si>
    <t>Invoice/BON/Nov_2024/035</t>
  </si>
  <si>
    <t>MR. NASSER AMUR AL SUBHI</t>
  </si>
  <si>
    <t>Invoice/BON/Nov_2024/036</t>
  </si>
  <si>
    <t>Invoice/BON/Nov_2025/103</t>
  </si>
  <si>
    <t>Invoice/BON/Nov_2024/037</t>
  </si>
  <si>
    <t>Invoice/BON/Nov_2024/038</t>
  </si>
  <si>
    <t>Invoice/BON/Nov_2025/104</t>
  </si>
  <si>
    <t>Invoice/BON/Nov_2024/039</t>
  </si>
  <si>
    <t>MADAM. JUMA GHAREEB HUDAIB AL RAWAHI</t>
  </si>
  <si>
    <t>Invoice/BON/Nov_2025/105</t>
  </si>
  <si>
    <t>Invoice/BON/Nov_2024/040</t>
  </si>
  <si>
    <t>Invoice/BON/Nov_2024/041</t>
  </si>
  <si>
    <t>MR. SULTAN MUSALLAM ALI NASSER AL YAQOUBI</t>
  </si>
  <si>
    <t>Invoice/BON/Nov_2024/042</t>
  </si>
  <si>
    <t>Invoice/BON/Nov_2025/106</t>
  </si>
  <si>
    <t>Invoice/BON/Nov_2024/043</t>
  </si>
  <si>
    <t>MR. AMMAR AL HATMI</t>
  </si>
  <si>
    <t>Invoice/BON/Nov_2025/107</t>
  </si>
  <si>
    <t>Invoice/BON/Nov_2024/044</t>
  </si>
  <si>
    <t>MR. ABDUL AZIZ AHMED SALEH AL-HARTHI</t>
  </si>
  <si>
    <t>Invoice/BON/Nov_2025/108</t>
  </si>
  <si>
    <t>Invoice/BON/Nov_2024/045</t>
  </si>
  <si>
    <t xml:space="preserve">MR. MAHMOOD RASHID MOHAMMED AL RIYAMI </t>
  </si>
  <si>
    <t>Invoice/BON/Nov_2024/046</t>
  </si>
  <si>
    <t>Invoice/BON/Nov_2025/082</t>
  </si>
  <si>
    <t>Invoice/BON/Nov_2024/047</t>
  </si>
  <si>
    <t>Mrs. Afrah farih Sulaiman Al Aamri</t>
  </si>
  <si>
    <t>M/s. Publication Construction</t>
  </si>
  <si>
    <t>Invoice/BON/Nov_2024/048</t>
  </si>
  <si>
    <t>1st july 2026</t>
  </si>
  <si>
    <t>Invoice/BON/Nov_2024/049</t>
  </si>
  <si>
    <t>Qalaa</t>
  </si>
  <si>
    <t>MR. ANAS NASSER SALIM AL KINDI</t>
  </si>
  <si>
    <t>Invoice/BON/Nov_2024/050</t>
  </si>
  <si>
    <t>Mr.Issa Al Amri</t>
  </si>
  <si>
    <t>MONTH DECEMBER -2024</t>
  </si>
  <si>
    <t>Not started</t>
  </si>
  <si>
    <t>lum/29</t>
  </si>
  <si>
    <t>MONTH DECEMBER-2025</t>
  </si>
  <si>
    <t>DECEMBER MONTH INVOICES</t>
  </si>
  <si>
    <t>Mrs. Nabila Moosa Doshameh Al Balushi</t>
  </si>
  <si>
    <t>9901 2221</t>
  </si>
  <si>
    <t>abu alkiyumi intl contr</t>
  </si>
  <si>
    <t>MR.HAMED MOHAMMED HAMED AL AUFI &amp; MR.MASOUD</t>
  </si>
  <si>
    <t>Invoice/BON/Dec_2024/006</t>
  </si>
  <si>
    <t>17th jun2026</t>
  </si>
  <si>
    <t>LUM/30</t>
  </si>
  <si>
    <t>Invoice/BON/Dec_2025/010</t>
  </si>
  <si>
    <t>Invoice/BON/Dec_2024/015</t>
  </si>
  <si>
    <t>Invoice/BON/Dec_2024/016</t>
  </si>
  <si>
    <t xml:space="preserve">MR. MASAUD ISSA SALIM AL HARTHY </t>
  </si>
  <si>
    <t>Invoice/BON/Dec_2025/011</t>
  </si>
  <si>
    <t>Invoice/Bon/Dec_ 2024/020</t>
  </si>
  <si>
    <t>Invoice/Bon/Dec_ 2024/021</t>
  </si>
  <si>
    <t xml:space="preserve">MR. HARIB ALI HAMOOD AL FARSI </t>
  </si>
  <si>
    <t>Invoice/BON/Dec_2025/012</t>
  </si>
  <si>
    <t>Invoice/Bon/Dec_ 2024/049</t>
  </si>
  <si>
    <t>Invoice/Bon/Dec_ 2024/050</t>
  </si>
  <si>
    <t xml:space="preserve">MR. AWADH AL OBAID AL MAHROUQI </t>
  </si>
  <si>
    <t>Invoice/BON/Dec_2025/053</t>
  </si>
  <si>
    <t>Invoice/Bon/Dec_ 2024/051</t>
  </si>
  <si>
    <t>MR. NABIL RAHMATH HASSAN AL BALUSHI</t>
  </si>
  <si>
    <t>Invoice/BON/Dec_2025/054</t>
  </si>
  <si>
    <t>Invoice/Bon/Dec_ 2024/052</t>
  </si>
  <si>
    <t>Mrs. Miad Al - Balushi</t>
  </si>
  <si>
    <t>9529 4548</t>
  </si>
  <si>
    <t>four pegs trading</t>
  </si>
  <si>
    <t>Invoice/Bon/Dec_ 2024/053</t>
  </si>
  <si>
    <t>Invoice/BON/Dec_2025/055</t>
  </si>
  <si>
    <t>Invoice/Bon/Dec_ 2024/054</t>
  </si>
  <si>
    <t>Invoice/BON/Dec_2025/056</t>
  </si>
  <si>
    <t>Invoice/BON/Dec_2025/057</t>
  </si>
  <si>
    <t>Invoice/BON/Dec_2025/058</t>
  </si>
  <si>
    <t>Invoice/Bon/Dec_ 2024/055</t>
  </si>
  <si>
    <t>Invoice/BON/Dec_2025/059</t>
  </si>
  <si>
    <t>Invoice/BON/Dec_2025/060</t>
  </si>
  <si>
    <t>Invoice/BON/Dec_2025/061</t>
  </si>
  <si>
    <t>MRS. RUQAIYA NASSER KHALFAN AL YAHYAHEE</t>
  </si>
  <si>
    <t>Invoice/Bon/Dec_ 2024/056</t>
  </si>
  <si>
    <t>Invoice/BON/Dec_2025/062</t>
  </si>
  <si>
    <t>Invoice/Bon/Dec_ 2024/057</t>
  </si>
  <si>
    <t>Invoice/BON/Dec_2025/063</t>
  </si>
  <si>
    <t>MR.AHMED KHALAF RASHID ABDULLAH AL ABRI</t>
  </si>
  <si>
    <t>model building contracting</t>
  </si>
  <si>
    <t>Invoice/BON/Dec_2025/064</t>
  </si>
  <si>
    <t>Invoice/Bon/Dec_ 2024/058</t>
  </si>
  <si>
    <t>1st june2026</t>
  </si>
  <si>
    <t>90-cancel</t>
  </si>
  <si>
    <t>MR. HAITHAM RASHID AL SHIBLI</t>
  </si>
  <si>
    <t>Invoice/BON/Dec_2025/065</t>
  </si>
  <si>
    <t>Invoice/Bon/Dec_ 2024/059</t>
  </si>
  <si>
    <t>Invoice/BON/Dec_2025/066</t>
  </si>
  <si>
    <t>Invoice/Bon/Dec_ 2024/060</t>
  </si>
  <si>
    <t>Invoice/BON/Dec_2025/067</t>
  </si>
  <si>
    <t>Invoice/Bon/Dec_ 2024/061</t>
  </si>
  <si>
    <t>Invoice/BON/Dec_2025/068</t>
  </si>
  <si>
    <t>Invoice/Bon/Dec_ 2024/062</t>
  </si>
  <si>
    <t>Invoice/BON/Dec_2025/069</t>
  </si>
  <si>
    <t>Invoice/Bon/Dec_ 2024/063</t>
  </si>
  <si>
    <t>Invoice/BON/Dec_2025/070</t>
  </si>
  <si>
    <t>MR. NASSER MASOUD HAMMAD AL KHAYARI</t>
  </si>
  <si>
    <t>Invoice/BON/Dec_2025/071</t>
  </si>
  <si>
    <t>Mr.Yahya bin hamed bin mohamed Al aghhari</t>
  </si>
  <si>
    <t>Invoice/BON/Dec_2025/072</t>
  </si>
  <si>
    <t>Invoice/BON/Dec_2025/073</t>
  </si>
  <si>
    <t>Invoice/BON/Dec_2025/074</t>
  </si>
  <si>
    <t>MR. SULTAN HILAL MOHAMMED AL SHUKAILI</t>
  </si>
  <si>
    <t>Invoice/BON/Dec_2025/075</t>
  </si>
  <si>
    <t>MR. TALIB ALI SULTAN AL HARTHY</t>
  </si>
  <si>
    <t>Invoice/BON/Dec_2025/076</t>
  </si>
  <si>
    <t>Mr. Sultan Said Ali Al Mahruqi</t>
  </si>
  <si>
    <t>Mr.Yaqoob Wahaybi</t>
  </si>
  <si>
    <t>Mr.Said Al Maqhbali</t>
  </si>
  <si>
    <t>Mr.Juma Ali Al Jumah</t>
  </si>
  <si>
    <t>1st july2026</t>
  </si>
  <si>
    <t>QURM</t>
  </si>
  <si>
    <t>Mrs. Laila Rashidi</t>
  </si>
  <si>
    <t>Year</t>
  </si>
  <si>
    <t>Number</t>
  </si>
  <si>
    <t>Current work</t>
  </si>
  <si>
    <t>Contractor contact</t>
  </si>
  <si>
    <t xml:space="preserve">Mr. Khalfan </t>
  </si>
  <si>
    <t>H.H. Sayyid Al Said</t>
  </si>
  <si>
    <t>Completed</t>
  </si>
  <si>
    <t>Fulej Villa</t>
  </si>
  <si>
    <t>Amjad Balushi</t>
  </si>
  <si>
    <t>Mabelah North</t>
  </si>
  <si>
    <t xml:space="preserve">Marwan </t>
  </si>
  <si>
    <t>Awad Mahrouqi</t>
  </si>
  <si>
    <t>Yaqoob - dream villa</t>
  </si>
  <si>
    <t>Saif - Three villa</t>
  </si>
  <si>
    <t>Al Khoudh village</t>
  </si>
  <si>
    <t>Shabib Raisi</t>
  </si>
  <si>
    <t xml:space="preserve">Sur Al Hadid </t>
  </si>
  <si>
    <t>Abdul Rahman Hattali</t>
  </si>
  <si>
    <t>Mahmood Al Hinai</t>
  </si>
  <si>
    <t>Talal Hammadi</t>
  </si>
  <si>
    <t xml:space="preserve">Khattab </t>
  </si>
  <si>
    <t>Qais Al Hinai</t>
  </si>
  <si>
    <t>Sultan Al Aufi</t>
  </si>
  <si>
    <t>Khalfan Subi</t>
  </si>
  <si>
    <t>Ahmed Hadhrami</t>
  </si>
  <si>
    <t>Mawelah North</t>
  </si>
  <si>
    <t>Ali Al Rawahi</t>
  </si>
  <si>
    <t>Fatima Balushi</t>
  </si>
  <si>
    <t>Yahya Bimani</t>
  </si>
  <si>
    <t>Hammam Farsi</t>
  </si>
  <si>
    <t>Saada Rajhi</t>
  </si>
  <si>
    <t>Khazina Nasser</t>
  </si>
  <si>
    <t>Saud Sabri</t>
  </si>
  <si>
    <t>Suleiman Bimani</t>
  </si>
  <si>
    <t>Talib Katri</t>
  </si>
  <si>
    <t>Ahmed Maskari</t>
  </si>
  <si>
    <t>Said Al Riyami</t>
  </si>
  <si>
    <t>Zahir Al Kindi</t>
  </si>
  <si>
    <t>Saleh Mamri</t>
  </si>
  <si>
    <t>Mazin Mubarak</t>
  </si>
  <si>
    <t>Saif Dhamry</t>
  </si>
  <si>
    <t>Masoud Farsi</t>
  </si>
  <si>
    <t>Maryam Bakri</t>
  </si>
  <si>
    <t>Waleed Badi</t>
  </si>
  <si>
    <t>Sulaiman Hatmi</t>
  </si>
  <si>
    <t>Adil Ibrahim Balushi</t>
  </si>
  <si>
    <t>Abdul Rahman</t>
  </si>
  <si>
    <t>Abdul Baqi</t>
  </si>
  <si>
    <t>Masjid - Al Khoudh</t>
  </si>
  <si>
    <t xml:space="preserve">Rashid Hadidi </t>
  </si>
  <si>
    <t>Ali Al Maskari</t>
  </si>
  <si>
    <t>Abdullah Abri</t>
  </si>
  <si>
    <t xml:space="preserve">Saleh Al Ruqishi </t>
  </si>
  <si>
    <t xml:space="preserve">Khadija </t>
  </si>
  <si>
    <t>Waleed Hueini</t>
  </si>
  <si>
    <t>Healat Al Nasir</t>
  </si>
  <si>
    <t>Talal Al Siyabi</t>
  </si>
  <si>
    <t>Seih Al Ahmer</t>
  </si>
  <si>
    <t>Mabelah Commercial</t>
  </si>
  <si>
    <t>Ahmed Khalfan al amri</t>
  </si>
  <si>
    <t>Abdul Siyabi</t>
  </si>
  <si>
    <t>Hafidh Busaidi</t>
  </si>
  <si>
    <t>Moosa Al Amri</t>
  </si>
  <si>
    <t>Said Al Wardi</t>
  </si>
  <si>
    <t>Mr. Sultan Sukaili</t>
  </si>
  <si>
    <t>Falaj Al Sham</t>
  </si>
  <si>
    <t>Take over</t>
  </si>
  <si>
    <t>Khalid Mahrooqi</t>
  </si>
  <si>
    <t>Ali Al Kalbani</t>
  </si>
  <si>
    <t>Haitham villa</t>
  </si>
  <si>
    <t>Yaqoob Kalbani</t>
  </si>
  <si>
    <t>Maktoom Mahmooli</t>
  </si>
  <si>
    <t>Wadi Al Lawami</t>
  </si>
  <si>
    <t>Mustafa Balushi</t>
  </si>
  <si>
    <t>Amur Al Harthy</t>
  </si>
  <si>
    <t>Essa Jabri</t>
  </si>
  <si>
    <t>Ayoub</t>
  </si>
  <si>
    <t>Saif Hattali</t>
  </si>
  <si>
    <t>Ruqaiya Yahyee</t>
  </si>
  <si>
    <t>Ruqiay Tamini</t>
  </si>
  <si>
    <t>Tariq Al Balushi</t>
  </si>
  <si>
    <t>Saida Al Siyabi</t>
  </si>
  <si>
    <t>Rashid Riyami</t>
  </si>
  <si>
    <t>Hamed Al Hinai</t>
  </si>
  <si>
    <t>Mohammed Al Abri</t>
  </si>
  <si>
    <t>Mohammed Naamani</t>
  </si>
  <si>
    <t>Mohammed Jabri</t>
  </si>
  <si>
    <t>Al Hail South</t>
  </si>
  <si>
    <t>Saud Qarni</t>
  </si>
  <si>
    <t>Mohammed Busaidi</t>
  </si>
  <si>
    <t>Mohammed Hasni</t>
  </si>
  <si>
    <t>Nabeel Balushi</t>
  </si>
  <si>
    <t>Haitham Shibly</t>
  </si>
  <si>
    <t>Al Amrat</t>
  </si>
  <si>
    <t>Bushra Bint Siaf</t>
  </si>
  <si>
    <t>Abdullah Hinai</t>
  </si>
  <si>
    <t>Ahmed Omairi</t>
  </si>
  <si>
    <t>Ghulam Al Balushi</t>
  </si>
  <si>
    <t>Saif Al Kaabi</t>
  </si>
  <si>
    <t>Faisal Dahli</t>
  </si>
  <si>
    <t>Hilal Shaqsi</t>
  </si>
  <si>
    <t>Mohammed Rashidi</t>
  </si>
  <si>
    <t>Amani Al Kindi</t>
  </si>
  <si>
    <t>Ahmed Battasi</t>
  </si>
  <si>
    <t xml:space="preserve">Scool - Mabelah </t>
  </si>
  <si>
    <t>Salim Jabri</t>
  </si>
  <si>
    <t>Shamsa Busaidi</t>
  </si>
  <si>
    <t>Ibrahim Al Amri</t>
  </si>
  <si>
    <t>Adil Al Amri</t>
  </si>
  <si>
    <t>Rabiya Al Siyabi</t>
  </si>
  <si>
    <t>Faisal Al Amri</t>
  </si>
  <si>
    <t>Mohammed Al Amri</t>
  </si>
  <si>
    <t>Ahmed Saidi</t>
  </si>
  <si>
    <t>Mr. Ibrahim Hasni</t>
  </si>
  <si>
    <t>Fahad Maamri</t>
  </si>
  <si>
    <t>Samira Al Baadi</t>
  </si>
  <si>
    <t>Saoud Al Riyami</t>
  </si>
  <si>
    <t>Badar Abdali</t>
  </si>
  <si>
    <t>Laila Rashidi</t>
  </si>
  <si>
    <t>Hamed Rashidi</t>
  </si>
  <si>
    <t>Hassan Harashi</t>
  </si>
  <si>
    <t>Illyas Mahrooqi</t>
  </si>
  <si>
    <t>Nasser Khayari</t>
  </si>
  <si>
    <t>Thuraiya Siyabi</t>
  </si>
  <si>
    <t>Younis Ghafri</t>
  </si>
  <si>
    <t>Juhaina Busaidi</t>
  </si>
  <si>
    <t>Saud Siyabi</t>
  </si>
  <si>
    <t>Omar Al Maamri</t>
  </si>
  <si>
    <t>Ali Hamed Rashid</t>
  </si>
  <si>
    <t>Ahmed Naamani</t>
  </si>
  <si>
    <t>Said Al Amri</t>
  </si>
  <si>
    <t>Mohammed Al Jabri</t>
  </si>
  <si>
    <t>Sami Jabri</t>
  </si>
  <si>
    <t>Harith Hilal</t>
  </si>
  <si>
    <t>Ahmed Dhamri</t>
  </si>
  <si>
    <t>Ammar Balushi</t>
  </si>
  <si>
    <t>Khalfan Amri</t>
  </si>
  <si>
    <t>Julanda Mawali</t>
  </si>
  <si>
    <t>Mohammed Kalbani</t>
  </si>
  <si>
    <t>Faiza Numani</t>
  </si>
  <si>
    <t xml:space="preserve">Khalfan </t>
  </si>
  <si>
    <t>Asaad Amri</t>
  </si>
  <si>
    <t>Hind Saifi</t>
  </si>
  <si>
    <t>Zahran Al Aufi</t>
  </si>
  <si>
    <t>Faisal Manji</t>
  </si>
  <si>
    <t>Nasser Hadidi</t>
  </si>
  <si>
    <t>Yousuf Kalbani</t>
  </si>
  <si>
    <t>Abdullah Hindi</t>
  </si>
  <si>
    <t>Fahud Maqbali</t>
  </si>
  <si>
    <t>Saif Salhi</t>
  </si>
  <si>
    <t>Sahim</t>
  </si>
  <si>
    <t>Yasmin</t>
  </si>
  <si>
    <t>Al Nadha</t>
  </si>
  <si>
    <t>Ibrahim Karbooshi</t>
  </si>
  <si>
    <t xml:space="preserve">Al Yousuf </t>
  </si>
  <si>
    <t>Mazin</t>
  </si>
  <si>
    <t>Sultan Sukaili</t>
  </si>
  <si>
    <t>Sultan Yakoubi</t>
  </si>
  <si>
    <t>Majid</t>
  </si>
  <si>
    <t>Abul Harthi</t>
  </si>
  <si>
    <t>Othman Zakwani</t>
  </si>
  <si>
    <t xml:space="preserve">Mahmood </t>
  </si>
  <si>
    <t>Reamarks</t>
  </si>
  <si>
    <t xml:space="preserve">Montly </t>
  </si>
  <si>
    <t>4-6 visits / 4 visits</t>
  </si>
  <si>
    <t xml:space="preserve">30 vists / 20 visits </t>
  </si>
  <si>
    <t>10 visits / 12 visits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</si>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</sst>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[$RO.]#,##0.000"/>
    <numFmt numFmtId="166" formatCode="000"/>
    <numFmt numFmtId="167" formatCode="d&quot;-&quot;mmm"/>
  </numFmts>
  <fonts count="53">
    <font>
      <sz val="11"/>
      <color rgb="FF000000"/>
      <name val="Arial"/>
      <scheme val="minor"/>
    </font>
    <font>
      <b/>
      <sz val="16"/>
      <color rgb="FF000000"/>
      <name val="Cambria"/>
    </font>
    <font>
      <sz val="11"/>
      <name val="Arial"/>
    </font>
    <font>
      <b/>
      <sz val="12"/>
      <color rgb="FF000000"/>
      <name val="Cambria"/>
    </font>
    <font>
      <b/>
      <sz val="11"/>
      <color rgb="FF000000"/>
      <name val="Calibri"/>
    </font>
    <font>
      <b/>
      <u/>
      <sz val="12"/>
      <color rgb="FF000000"/>
      <name val="Cambria"/>
    </font>
    <font>
      <sz val="11"/>
      <color theme="1"/>
      <name val="Arial"/>
    </font>
    <font>
      <b/>
      <sz val="16"/>
      <color theme="1"/>
      <name val="Cambria"/>
    </font>
    <font>
      <sz val="12"/>
      <color rgb="FF000000"/>
      <name val="Cambria"/>
    </font>
    <font>
      <b/>
      <sz val="11"/>
      <color theme="1"/>
      <name val="Times New Roman"/>
    </font>
    <font>
      <b/>
      <sz val="12"/>
      <color theme="1"/>
      <name val="Cambria"/>
    </font>
    <font>
      <sz val="12"/>
      <color rgb="FFFF0000"/>
      <name val="Cambria"/>
    </font>
    <font>
      <b/>
      <sz val="12"/>
      <color theme="1"/>
      <name val="Lobster"/>
    </font>
    <font>
      <sz val="12"/>
      <color theme="1"/>
      <name val="Cambria"/>
    </font>
    <font>
      <b/>
      <sz val="12"/>
      <color theme="1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2"/>
      <color rgb="FFC00000"/>
      <name val="Cambria"/>
    </font>
    <font>
      <b/>
      <sz val="12"/>
      <color rgb="FFFF0000"/>
      <name val="Cambria"/>
    </font>
    <font>
      <b/>
      <sz val="11"/>
      <color theme="1"/>
      <name val="Calibri"/>
    </font>
    <font>
      <b/>
      <sz val="11"/>
      <color theme="1"/>
      <name val="Calibri"/>
    </font>
    <font>
      <sz val="11"/>
      <color rgb="FFFF0000"/>
      <name val="Arial"/>
      <scheme val="minor"/>
    </font>
    <font>
      <sz val="12"/>
      <color theme="1"/>
      <name val="Calibri"/>
    </font>
    <font>
      <sz val="14"/>
      <color rgb="FF000000"/>
      <name val="Cambria"/>
    </font>
    <font>
      <sz val="11"/>
      <color rgb="FF000000"/>
      <name val="Calibri"/>
    </font>
    <font>
      <sz val="11"/>
      <color rgb="FF000000"/>
      <name val="Times New Roman"/>
    </font>
    <font>
      <b/>
      <sz val="12"/>
      <color theme="1"/>
      <name val="Calibri"/>
    </font>
    <font>
      <sz val="11"/>
      <color theme="1"/>
      <name val="Cambria"/>
    </font>
    <font>
      <b/>
      <u/>
      <sz val="12"/>
      <color rgb="FFFF0000"/>
      <name val="Century"/>
    </font>
    <font>
      <sz val="11"/>
      <color rgb="FFFF0000"/>
      <name val="Calibri"/>
    </font>
    <font>
      <sz val="11"/>
      <color theme="1"/>
      <name val="Arial"/>
      <scheme val="minor"/>
    </font>
    <font>
      <sz val="14"/>
      <color theme="1"/>
      <name val="Cambria"/>
    </font>
    <font>
      <sz val="11"/>
      <color rgb="FFFF0000"/>
      <name val="Times New Roman"/>
    </font>
    <font>
      <b/>
      <u/>
      <sz val="12"/>
      <color rgb="FFFF0000"/>
      <name val="Century"/>
    </font>
    <font>
      <b/>
      <sz val="11"/>
      <color rgb="FFFF0000"/>
      <name val="Century"/>
    </font>
    <font>
      <sz val="12"/>
      <color rgb="FFFF0000"/>
      <name val="Calibri"/>
    </font>
    <font>
      <sz val="11"/>
      <color rgb="FFFF0000"/>
      <name val="Arial"/>
    </font>
    <font>
      <b/>
      <u/>
      <sz val="12"/>
      <color rgb="FFFF0000"/>
      <name val="Century"/>
    </font>
    <font>
      <sz val="12"/>
      <color rgb="FFF10000"/>
      <name val="Cambria"/>
    </font>
    <font>
      <sz val="12"/>
      <color rgb="FF000000"/>
      <name val="Calibri"/>
    </font>
    <font>
      <sz val="12"/>
      <color rgb="FFFF0000"/>
      <name val="Times New Roman"/>
    </font>
    <font>
      <b/>
      <u/>
      <sz val="11"/>
      <color rgb="FFFF0000"/>
      <name val="Century"/>
    </font>
    <font>
      <sz val="12"/>
      <color theme="1"/>
      <name val="&quot;Times New Roman&quot;"/>
    </font>
    <font>
      <sz val="9"/>
      <color theme="1"/>
      <name val="Arial"/>
      <scheme val="minor"/>
    </font>
    <font>
      <b/>
      <u/>
      <sz val="12"/>
      <color rgb="FFFF0000"/>
      <name val="Cambria"/>
    </font>
    <font>
      <sz val="11"/>
      <color rgb="FFF10000"/>
      <name val="Cambria"/>
    </font>
    <font>
      <sz val="11"/>
      <color rgb="FFF10000"/>
      <name val="Calibri"/>
    </font>
    <font>
      <b/>
      <sz val="11"/>
      <color rgb="FFFF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theme="0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DD7EE"/>
        <bgColor rgb="FFBDD7EE"/>
      </patternFill>
    </fill>
    <fill>
      <patternFill patternType="solid">
        <fgColor rgb="FFBDD6EE"/>
        <bgColor rgb="FFBDD6EE"/>
      </patternFill>
    </fill>
    <fill>
      <patternFill patternType="solid">
        <fgColor rgb="FFF3F3F3"/>
        <bgColor rgb="FFF3F3F3"/>
      </patternFill>
    </fill>
    <fill>
      <patternFill patternType="solid">
        <fgColor rgb="FFF8CBAD"/>
        <bgColor rgb="FFF8CBAD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F9CB9C"/>
        <bgColor rgb="FFF9CB9C"/>
      </patternFill>
    </fill>
    <fill>
      <patternFill patternType="solid">
        <fgColor rgb="FFE6CFF2"/>
        <bgColor rgb="FFE6CFF2"/>
      </patternFill>
    </fill>
    <fill>
      <patternFill patternType="solid">
        <fgColor rgb="FF274E13"/>
        <bgColor rgb="FF274E13"/>
      </patternFill>
    </fill>
    <fill>
      <patternFill patternType="solid">
        <fgColor rgb="FFBFE1F6"/>
        <bgColor rgb="FFBFE1F6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164" fontId="13" fillId="0" borderId="11" xfId="0" applyNumberFormat="1" applyFont="1" applyBorder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15" fillId="0" borderId="0" xfId="0" applyFont="1"/>
    <xf numFmtId="0" fontId="4" fillId="0" borderId="18" xfId="0" applyFont="1" applyBorder="1" applyAlignment="1">
      <alignment horizontal="center" vertical="center" wrapText="1"/>
    </xf>
    <xf numFmtId="0" fontId="13" fillId="0" borderId="12" xfId="0" applyFont="1" applyBorder="1" applyAlignment="1">
      <alignment vertical="center" wrapText="1"/>
    </xf>
    <xf numFmtId="0" fontId="2" fillId="0" borderId="22" xfId="0" applyFont="1" applyBorder="1"/>
    <xf numFmtId="0" fontId="16" fillId="0" borderId="13" xfId="0" applyFont="1" applyBorder="1"/>
    <xf numFmtId="164" fontId="17" fillId="0" borderId="12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165" fontId="19" fillId="0" borderId="18" xfId="0" applyNumberFormat="1" applyFont="1" applyBorder="1" applyAlignment="1">
      <alignment horizontal="center" vertical="center" wrapText="1"/>
    </xf>
    <xf numFmtId="2" fontId="13" fillId="0" borderId="12" xfId="0" applyNumberFormat="1" applyFont="1" applyBorder="1" applyAlignment="1">
      <alignment horizontal="center" vertical="center"/>
    </xf>
    <xf numFmtId="165" fontId="20" fillId="0" borderId="18" xfId="0" applyNumberFormat="1" applyFont="1" applyBorder="1" applyAlignment="1">
      <alignment horizontal="center" vertical="center" wrapText="1"/>
    </xf>
    <xf numFmtId="2" fontId="11" fillId="0" borderId="12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164" fontId="11" fillId="0" borderId="13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164" fontId="13" fillId="0" borderId="1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1" fillId="0" borderId="0" xfId="0" applyFont="1"/>
    <xf numFmtId="164" fontId="13" fillId="0" borderId="13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 wrapText="1"/>
    </xf>
    <xf numFmtId="166" fontId="16" fillId="0" borderId="18" xfId="0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left" vertical="center"/>
    </xf>
    <xf numFmtId="0" fontId="23" fillId="2" borderId="0" xfId="0" applyFont="1" applyFill="1" applyAlignment="1">
      <alignment vertical="center"/>
    </xf>
    <xf numFmtId="0" fontId="23" fillId="6" borderId="5" xfId="0" applyFont="1" applyFill="1" applyBorder="1" applyAlignment="1">
      <alignment vertical="center"/>
    </xf>
    <xf numFmtId="0" fontId="23" fillId="6" borderId="23" xfId="0" applyFont="1" applyFill="1" applyBorder="1" applyAlignment="1">
      <alignment vertical="center"/>
    </xf>
    <xf numFmtId="0" fontId="24" fillId="0" borderId="18" xfId="0" applyFont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167" fontId="15" fillId="0" borderId="18" xfId="0" applyNumberFormat="1" applyFont="1" applyBorder="1" applyAlignment="1">
      <alignment horizontal="center" vertical="center"/>
    </xf>
    <xf numFmtId="164" fontId="23" fillId="6" borderId="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4" fontId="23" fillId="6" borderId="23" xfId="0" applyNumberFormat="1" applyFont="1" applyFill="1" applyBorder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0" fontId="24" fillId="0" borderId="0" xfId="0" applyFont="1"/>
    <xf numFmtId="164" fontId="24" fillId="0" borderId="0" xfId="0" applyNumberFormat="1" applyFon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7" fillId="0" borderId="12" xfId="0" applyFont="1" applyBorder="1" applyAlignment="1">
      <alignment horizontal="left" vertical="center" wrapText="1"/>
    </xf>
    <xf numFmtId="0" fontId="16" fillId="0" borderId="12" xfId="0" applyFont="1" applyBorder="1" applyAlignment="1">
      <alignment vertical="center"/>
    </xf>
    <xf numFmtId="0" fontId="28" fillId="0" borderId="12" xfId="0" applyFont="1" applyBorder="1" applyAlignment="1">
      <alignment vertical="center"/>
    </xf>
    <xf numFmtId="164" fontId="16" fillId="0" borderId="12" xfId="0" applyNumberFormat="1" applyFont="1" applyBorder="1" applyAlignment="1">
      <alignment vertical="center"/>
    </xf>
    <xf numFmtId="164" fontId="29" fillId="0" borderId="12" xfId="0" applyNumberFormat="1" applyFont="1" applyBorder="1" applyAlignment="1">
      <alignment vertical="center"/>
    </xf>
    <xf numFmtId="0" fontId="30" fillId="0" borderId="0" xfId="0" applyFont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horizontal="center" vertical="center" wrapText="1"/>
    </xf>
    <xf numFmtId="1" fontId="13" fillId="0" borderId="12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164" fontId="13" fillId="0" borderId="8" xfId="0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0" fontId="31" fillId="7" borderId="23" xfId="0" applyFont="1" applyFill="1" applyBorder="1"/>
    <xf numFmtId="0" fontId="13" fillId="0" borderId="13" xfId="0" applyFont="1" applyBorder="1" applyAlignment="1">
      <alignment vertical="center" wrapText="1"/>
    </xf>
    <xf numFmtId="0" fontId="31" fillId="7" borderId="24" xfId="0" applyFont="1" applyFill="1" applyBorder="1"/>
    <xf numFmtId="0" fontId="6" fillId="0" borderId="18" xfId="0" applyFont="1" applyBorder="1" applyAlignment="1">
      <alignment vertical="center"/>
    </xf>
    <xf numFmtId="0" fontId="31" fillId="7" borderId="23" xfId="0" applyFont="1" applyFill="1" applyBorder="1" applyAlignment="1">
      <alignment horizontal="center" vertical="center"/>
    </xf>
    <xf numFmtId="2" fontId="31" fillId="7" borderId="2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30" fillId="0" borderId="18" xfId="0" applyFont="1" applyBorder="1"/>
    <xf numFmtId="164" fontId="16" fillId="0" borderId="0" xfId="0" applyNumberFormat="1" applyFont="1" applyAlignment="1">
      <alignment vertical="center"/>
    </xf>
    <xf numFmtId="164" fontId="22" fillId="0" borderId="12" xfId="0" applyNumberFormat="1" applyFont="1" applyBorder="1" applyAlignment="1">
      <alignment horizontal="center" vertical="center"/>
    </xf>
    <xf numFmtId="0" fontId="16" fillId="7" borderId="23" xfId="0" applyFont="1" applyFill="1" applyBorder="1" applyAlignment="1">
      <alignment vertical="center"/>
    </xf>
    <xf numFmtId="164" fontId="31" fillId="7" borderId="23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16" fillId="0" borderId="12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29" fillId="0" borderId="12" xfId="0" applyNumberFormat="1" applyFont="1" applyBorder="1" applyAlignment="1">
      <alignment horizontal="center" vertical="center"/>
    </xf>
    <xf numFmtId="0" fontId="6" fillId="8" borderId="18" xfId="0" applyFont="1" applyFill="1" applyBorder="1" applyAlignment="1">
      <alignment vertical="center"/>
    </xf>
    <xf numFmtId="0" fontId="16" fillId="0" borderId="13" xfId="0" applyFont="1" applyBorder="1" applyAlignment="1">
      <alignment vertical="center"/>
    </xf>
    <xf numFmtId="164" fontId="16" fillId="0" borderId="13" xfId="0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3" fillId="0" borderId="12" xfId="0" applyFont="1" applyBorder="1" applyAlignment="1">
      <alignment vertical="center"/>
    </xf>
    <xf numFmtId="0" fontId="34" fillId="0" borderId="12" xfId="0" applyFont="1" applyBorder="1" applyAlignment="1">
      <alignment horizontal="left" vertical="center"/>
    </xf>
    <xf numFmtId="0" fontId="29" fillId="9" borderId="18" xfId="0" applyFont="1" applyFill="1" applyBorder="1" applyAlignment="1">
      <alignment horizontal="center" vertical="center"/>
    </xf>
    <xf numFmtId="166" fontId="29" fillId="9" borderId="18" xfId="0" applyNumberFormat="1" applyFont="1" applyFill="1" applyBorder="1" applyAlignment="1">
      <alignment horizontal="center" vertical="center"/>
    </xf>
    <xf numFmtId="0" fontId="35" fillId="9" borderId="18" xfId="0" applyFont="1" applyFill="1" applyBorder="1" applyAlignment="1">
      <alignment horizontal="center" vertical="center"/>
    </xf>
    <xf numFmtId="0" fontId="36" fillId="9" borderId="18" xfId="0" applyFont="1" applyFill="1" applyBorder="1" applyAlignment="1">
      <alignment horizontal="center" vertical="center"/>
    </xf>
    <xf numFmtId="0" fontId="36" fillId="9" borderId="18" xfId="0" applyFont="1" applyFill="1" applyBorder="1" applyAlignment="1">
      <alignment vertical="center"/>
    </xf>
    <xf numFmtId="0" fontId="23" fillId="0" borderId="0" xfId="0" applyFont="1"/>
    <xf numFmtId="0" fontId="8" fillId="0" borderId="0" xfId="0" applyFont="1"/>
    <xf numFmtId="164" fontId="8" fillId="0" borderId="0" xfId="0" applyNumberFormat="1" applyFont="1" applyAlignment="1">
      <alignment horizontal="center"/>
    </xf>
    <xf numFmtId="167" fontId="32" fillId="9" borderId="0" xfId="0" applyNumberFormat="1" applyFont="1" applyFill="1" applyAlignment="1">
      <alignment horizontal="center" vertical="center"/>
    </xf>
    <xf numFmtId="0" fontId="32" fillId="9" borderId="0" xfId="0" applyFont="1" applyFill="1"/>
    <xf numFmtId="0" fontId="16" fillId="0" borderId="18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37" fillId="0" borderId="12" xfId="0" applyFont="1" applyBorder="1" applyAlignment="1">
      <alignment vertical="center"/>
    </xf>
    <xf numFmtId="164" fontId="38" fillId="0" borderId="1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2" fontId="16" fillId="0" borderId="12" xfId="0" applyNumberFormat="1" applyFont="1" applyBorder="1" applyAlignment="1">
      <alignment vertical="center"/>
    </xf>
    <xf numFmtId="2" fontId="13" fillId="0" borderId="13" xfId="0" applyNumberFormat="1" applyFont="1" applyBorder="1" applyAlignment="1">
      <alignment horizontal="center" vertical="center"/>
    </xf>
    <xf numFmtId="2" fontId="17" fillId="0" borderId="12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164" fontId="23" fillId="0" borderId="0" xfId="0" applyNumberFormat="1" applyFont="1" applyAlignment="1">
      <alignment horizontal="center"/>
    </xf>
    <xf numFmtId="0" fontId="39" fillId="0" borderId="0" xfId="0" applyFont="1"/>
    <xf numFmtId="0" fontId="40" fillId="9" borderId="0" xfId="0" applyFont="1" applyFill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0" fontId="16" fillId="2" borderId="18" xfId="0" applyFont="1" applyFill="1" applyBorder="1" applyAlignment="1">
      <alignment horizontal="center" vertical="center"/>
    </xf>
    <xf numFmtId="166" fontId="16" fillId="2" borderId="18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vertical="center"/>
    </xf>
    <xf numFmtId="164" fontId="17" fillId="0" borderId="0" xfId="0" applyNumberFormat="1" applyFont="1" applyAlignment="1">
      <alignment horizontal="center"/>
    </xf>
    <xf numFmtId="167" fontId="15" fillId="2" borderId="0" xfId="0" applyNumberFormat="1" applyFont="1" applyFill="1" applyAlignment="1">
      <alignment horizontal="center" vertical="center"/>
    </xf>
    <xf numFmtId="0" fontId="15" fillId="2" borderId="0" xfId="0" applyFont="1" applyFill="1"/>
    <xf numFmtId="164" fontId="35" fillId="0" borderId="12" xfId="0" applyNumberFormat="1" applyFont="1" applyBorder="1" applyAlignment="1">
      <alignment horizontal="center" vertical="center"/>
    </xf>
    <xf numFmtId="164" fontId="22" fillId="0" borderId="12" xfId="0" applyNumberFormat="1" applyFont="1" applyBorder="1" applyAlignment="1">
      <alignment vertical="center"/>
    </xf>
    <xf numFmtId="164" fontId="30" fillId="0" borderId="0" xfId="0" applyNumberFormat="1" applyFont="1"/>
    <xf numFmtId="0" fontId="41" fillId="0" borderId="12" xfId="0" applyFont="1" applyBorder="1" applyAlignment="1">
      <alignment horizontal="left" vertical="center"/>
    </xf>
    <xf numFmtId="0" fontId="16" fillId="8" borderId="18" xfId="0" applyFont="1" applyFill="1" applyBorder="1" applyAlignment="1">
      <alignment horizontal="center" vertical="center"/>
    </xf>
    <xf numFmtId="166" fontId="16" fillId="8" borderId="18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2" fillId="8" borderId="18" xfId="0" applyFont="1" applyFill="1" applyBorder="1" applyAlignment="1">
      <alignment horizontal="center" vertical="center"/>
    </xf>
    <xf numFmtId="0" fontId="24" fillId="8" borderId="18" xfId="0" applyFont="1" applyFill="1" applyBorder="1" applyAlignment="1">
      <alignment horizontal="center" vertical="center"/>
    </xf>
    <xf numFmtId="167" fontId="15" fillId="8" borderId="0" xfId="0" applyNumberFormat="1" applyFont="1" applyFill="1" applyAlignment="1">
      <alignment horizontal="center" vertical="center"/>
    </xf>
    <xf numFmtId="0" fontId="15" fillId="8" borderId="0" xfId="0" applyFont="1" applyFill="1"/>
    <xf numFmtId="0" fontId="42" fillId="0" borderId="0" xfId="0" applyFont="1"/>
    <xf numFmtId="0" fontId="43" fillId="0" borderId="0" xfId="0" applyFont="1" applyAlignment="1">
      <alignment vertical="top"/>
    </xf>
    <xf numFmtId="0" fontId="44" fillId="0" borderId="12" xfId="0" applyFont="1" applyBorder="1" applyAlignment="1">
      <alignment vertical="center"/>
    </xf>
    <xf numFmtId="0" fontId="30" fillId="0" borderId="0" xfId="0" applyFont="1" applyAlignment="1">
      <alignment horizontal="left" vertical="center"/>
    </xf>
    <xf numFmtId="166" fontId="22" fillId="0" borderId="18" xfId="0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4" fillId="10" borderId="21" xfId="0" applyFont="1" applyFill="1" applyBorder="1" applyAlignment="1">
      <alignment horizontal="center" vertical="center"/>
    </xf>
    <xf numFmtId="0" fontId="27" fillId="0" borderId="12" xfId="0" applyFont="1" applyBorder="1" applyAlignment="1">
      <alignment vertical="center"/>
    </xf>
    <xf numFmtId="164" fontId="27" fillId="0" borderId="13" xfId="0" applyNumberFormat="1" applyFont="1" applyBorder="1" applyAlignment="1">
      <alignment horizontal="center" vertical="center"/>
    </xf>
    <xf numFmtId="164" fontId="45" fillId="0" borderId="12" xfId="0" applyNumberFormat="1" applyFont="1" applyBorder="1" applyAlignment="1">
      <alignment horizontal="center" vertical="center"/>
    </xf>
    <xf numFmtId="164" fontId="27" fillId="0" borderId="12" xfId="0" applyNumberFormat="1" applyFont="1" applyBorder="1" applyAlignment="1">
      <alignment horizontal="center" vertical="center"/>
    </xf>
    <xf numFmtId="164" fontId="46" fillId="0" borderId="12" xfId="0" applyNumberFormat="1" applyFont="1" applyBorder="1" applyAlignment="1">
      <alignment horizontal="center" vertical="center"/>
    </xf>
    <xf numFmtId="164" fontId="30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30" fillId="0" borderId="0" xfId="0" applyFont="1"/>
    <xf numFmtId="164" fontId="47" fillId="9" borderId="0" xfId="0" applyNumberFormat="1" applyFont="1" applyFill="1" applyAlignment="1">
      <alignment horizontal="center" vertical="center"/>
    </xf>
    <xf numFmtId="164" fontId="47" fillId="11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6" fillId="8" borderId="0" xfId="0" applyFont="1" applyFill="1" applyAlignment="1">
      <alignment vertical="center"/>
    </xf>
    <xf numFmtId="0" fontId="32" fillId="5" borderId="18" xfId="0" applyFont="1" applyFill="1" applyBorder="1" applyAlignment="1">
      <alignment horizontal="center" vertical="center" wrapText="1"/>
    </xf>
    <xf numFmtId="0" fontId="32" fillId="5" borderId="25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4" fillId="5" borderId="25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left" vertical="center"/>
    </xf>
    <xf numFmtId="166" fontId="15" fillId="0" borderId="18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0" fontId="49" fillId="0" borderId="18" xfId="0" applyFont="1" applyBorder="1" applyAlignment="1">
      <alignment horizontal="center" vertical="center"/>
    </xf>
    <xf numFmtId="0" fontId="15" fillId="12" borderId="18" xfId="0" applyFont="1" applyFill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50" fillId="13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5" fillId="12" borderId="0" xfId="0" applyFont="1" applyFill="1" applyAlignment="1">
      <alignment vertical="center"/>
    </xf>
    <xf numFmtId="0" fontId="15" fillId="14" borderId="0" xfId="0" applyFont="1" applyFill="1" applyAlignment="1">
      <alignment vertical="center"/>
    </xf>
    <xf numFmtId="0" fontId="50" fillId="0" borderId="0" xfId="0" applyFont="1" applyAlignment="1">
      <alignment horizontal="left"/>
    </xf>
    <xf numFmtId="0" fontId="51" fillId="0" borderId="0" xfId="0" applyFont="1"/>
    <xf numFmtId="0" fontId="51" fillId="0" borderId="0" xfId="0" applyFont="1" applyAlignment="1">
      <alignment horizontal="left"/>
    </xf>
    <xf numFmtId="0" fontId="25" fillId="0" borderId="0" xfId="0" applyFont="1" applyAlignment="1">
      <alignment horizontal="center" vertical="center"/>
    </xf>
    <xf numFmtId="0" fontId="6" fillId="0" borderId="0" xfId="0" applyFont="1"/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0" fillId="4" borderId="4" xfId="0" applyFont="1" applyFill="1" applyBorder="1" applyAlignment="1">
      <alignment horizontal="center" vertical="center"/>
    </xf>
    <xf numFmtId="0" fontId="2" fillId="0" borderId="8" xfId="0" applyFont="1" applyBorder="1"/>
    <xf numFmtId="0" fontId="10" fillId="4" borderId="14" xfId="0" applyFont="1" applyFill="1" applyBorder="1" applyAlignment="1">
      <alignment horizontal="center" vertical="center"/>
    </xf>
    <xf numFmtId="0" fontId="2" fillId="0" borderId="17" xfId="0" applyFont="1" applyBorder="1"/>
    <xf numFmtId="0" fontId="10" fillId="4" borderId="15" xfId="0" applyFont="1" applyFill="1" applyBorder="1" applyAlignment="1">
      <alignment horizontal="center" vertical="center"/>
    </xf>
    <xf numFmtId="0" fontId="2" fillId="0" borderId="19" xfId="0" applyFont="1" applyBorder="1"/>
    <xf numFmtId="164" fontId="10" fillId="4" borderId="16" xfId="0" applyNumberFormat="1" applyFont="1" applyFill="1" applyBorder="1" applyAlignment="1">
      <alignment horizontal="center" vertical="center" wrapText="1"/>
    </xf>
    <xf numFmtId="0" fontId="2" fillId="0" borderId="20" xfId="0" applyFont="1" applyBorder="1"/>
    <xf numFmtId="164" fontId="10" fillId="4" borderId="4" xfId="0" applyNumberFormat="1" applyFont="1" applyFill="1" applyBorder="1" applyAlignment="1">
      <alignment horizontal="center" vertical="center" wrapText="1"/>
    </xf>
    <xf numFmtId="164" fontId="10" fillId="4" borderId="14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5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9" xfId="0" applyFont="1" applyBorder="1"/>
    <xf numFmtId="164" fontId="3" fillId="3" borderId="4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2" fillId="0" borderId="10" xfId="0" applyFont="1" applyBorder="1"/>
    <xf numFmtId="0" fontId="7" fillId="0" borderId="5" xfId="0" applyFont="1" applyBorder="1" applyAlignment="1">
      <alignment horizontal="center"/>
    </xf>
    <xf numFmtId="0" fontId="10" fillId="4" borderId="1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0" borderId="22" xfId="0" applyFont="1" applyBorder="1"/>
    <xf numFmtId="166" fontId="16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i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10000"/>
    <outlinePr summaryBelow="0" summaryRight="0"/>
  </sheetPr>
  <dimension ref="A1:AA889"/>
  <sheetViews>
    <sheetView workbookViewId="0"/>
  </sheetViews>
  <sheetFormatPr defaultColWidth="12.625" defaultRowHeight="15" customHeight="1"/>
  <cols>
    <col min="1" max="2" width="7.375" customWidth="1"/>
    <col min="3" max="3" width="48.5" customWidth="1"/>
    <col min="4" max="4" width="30" customWidth="1"/>
    <col min="5" max="5" width="15.875" customWidth="1"/>
    <col min="6" max="6" width="13.875" customWidth="1"/>
  </cols>
  <sheetData>
    <row r="1" spans="1:7" ht="26.25" customHeight="1">
      <c r="A1" s="1"/>
      <c r="B1" s="1"/>
      <c r="C1" s="1"/>
      <c r="D1" s="1"/>
      <c r="E1" s="2"/>
      <c r="F1" s="2"/>
      <c r="G1" s="2"/>
    </row>
    <row r="2" spans="1:7" ht="26.25" customHeight="1">
      <c r="A2" s="1"/>
      <c r="B2" s="205" t="s">
        <v>0</v>
      </c>
      <c r="C2" s="206"/>
      <c r="D2" s="206"/>
      <c r="E2" s="206"/>
      <c r="F2" s="206"/>
      <c r="G2" s="207"/>
    </row>
    <row r="3" spans="1:7" ht="26.25" customHeight="1">
      <c r="A3" s="3"/>
      <c r="B3" s="208" t="s">
        <v>1</v>
      </c>
      <c r="C3" s="209" t="s">
        <v>2</v>
      </c>
      <c r="D3" s="210" t="s">
        <v>4</v>
      </c>
      <c r="E3" s="212" t="s">
        <v>5</v>
      </c>
      <c r="F3" s="212" t="s">
        <v>6</v>
      </c>
      <c r="G3" s="213" t="s">
        <v>7</v>
      </c>
    </row>
    <row r="4" spans="1:7" ht="26.25" customHeight="1">
      <c r="A4" s="3"/>
      <c r="B4" s="195"/>
      <c r="C4" s="195"/>
      <c r="D4" s="211"/>
      <c r="E4" s="195"/>
      <c r="F4" s="195"/>
      <c r="G4" s="214"/>
    </row>
    <row r="5" spans="1:7" ht="26.25" customHeight="1">
      <c r="A5" s="7"/>
      <c r="B5" s="8"/>
      <c r="C5" s="9"/>
      <c r="D5" s="7"/>
      <c r="E5" s="10"/>
      <c r="F5" s="11"/>
      <c r="G5" s="12"/>
    </row>
    <row r="6" spans="1:7" ht="26.25" customHeight="1">
      <c r="A6" s="7"/>
      <c r="B6" s="8">
        <v>1</v>
      </c>
      <c r="C6" s="9" t="s">
        <v>9</v>
      </c>
      <c r="D6" s="7" t="s">
        <v>10</v>
      </c>
      <c r="E6" s="10"/>
      <c r="F6" s="13"/>
      <c r="G6" s="12" t="s">
        <v>11</v>
      </c>
    </row>
    <row r="7" spans="1:7" ht="26.25" customHeight="1">
      <c r="A7" s="7"/>
      <c r="B7" s="8">
        <v>2</v>
      </c>
      <c r="C7" s="9" t="s">
        <v>12</v>
      </c>
      <c r="D7" s="7" t="s">
        <v>13</v>
      </c>
      <c r="E7" s="15">
        <v>200</v>
      </c>
      <c r="F7" s="13">
        <v>200</v>
      </c>
      <c r="G7" s="12"/>
    </row>
    <row r="8" spans="1:7" ht="26.25" customHeight="1">
      <c r="A8" s="7"/>
      <c r="B8" s="8">
        <v>3</v>
      </c>
      <c r="C8" s="9" t="s">
        <v>14</v>
      </c>
      <c r="D8" s="7" t="s">
        <v>15</v>
      </c>
      <c r="E8" s="15">
        <v>100</v>
      </c>
      <c r="F8" s="13">
        <v>100</v>
      </c>
      <c r="G8" s="12"/>
    </row>
    <row r="9" spans="1:7" ht="26.25" customHeight="1">
      <c r="A9" s="7"/>
      <c r="B9" s="8">
        <v>4</v>
      </c>
      <c r="C9" s="9" t="s">
        <v>16</v>
      </c>
      <c r="D9" s="7" t="s">
        <v>19</v>
      </c>
      <c r="E9" s="15">
        <v>120</v>
      </c>
      <c r="F9" s="13">
        <v>120</v>
      </c>
      <c r="G9" s="12"/>
    </row>
    <row r="10" spans="1:7" ht="26.25" customHeight="1">
      <c r="A10" s="7"/>
      <c r="B10" s="8">
        <v>5</v>
      </c>
      <c r="C10" s="9" t="s">
        <v>20</v>
      </c>
      <c r="D10" s="7" t="s">
        <v>21</v>
      </c>
      <c r="E10" s="15">
        <v>90</v>
      </c>
      <c r="F10" s="13">
        <v>90</v>
      </c>
      <c r="G10" s="12"/>
    </row>
    <row r="11" spans="1:7" ht="26.25" customHeight="1">
      <c r="A11" s="7"/>
      <c r="B11" s="8">
        <v>6</v>
      </c>
      <c r="C11" s="9" t="s">
        <v>26</v>
      </c>
      <c r="D11" s="7" t="s">
        <v>27</v>
      </c>
      <c r="E11" s="15">
        <v>100</v>
      </c>
      <c r="F11" s="22">
        <v>100</v>
      </c>
      <c r="G11" s="12"/>
    </row>
    <row r="12" spans="1:7" ht="26.25" customHeight="1">
      <c r="A12" s="7"/>
      <c r="B12" s="8">
        <v>7</v>
      </c>
      <c r="C12" s="9" t="s">
        <v>8</v>
      </c>
      <c r="D12" s="7" t="s">
        <v>32</v>
      </c>
      <c r="E12" s="15">
        <v>75</v>
      </c>
      <c r="F12" s="22">
        <v>75</v>
      </c>
      <c r="G12" s="12"/>
    </row>
    <row r="13" spans="1:7" ht="26.25" customHeight="1">
      <c r="A13" s="7"/>
      <c r="B13" s="8">
        <v>8</v>
      </c>
      <c r="C13" s="9" t="s">
        <v>35</v>
      </c>
      <c r="D13" s="7" t="s">
        <v>36</v>
      </c>
      <c r="E13" s="15">
        <v>100</v>
      </c>
      <c r="F13" s="22">
        <v>100</v>
      </c>
      <c r="G13" s="12"/>
    </row>
    <row r="14" spans="1:7" ht="26.25" customHeight="1">
      <c r="A14" s="7"/>
      <c r="B14" s="8">
        <v>9</v>
      </c>
      <c r="C14" s="9" t="s">
        <v>38</v>
      </c>
      <c r="D14" s="7" t="s">
        <v>39</v>
      </c>
      <c r="E14" s="15">
        <v>75</v>
      </c>
      <c r="F14" s="22">
        <v>75</v>
      </c>
      <c r="G14" s="12"/>
    </row>
    <row r="15" spans="1:7" ht="26.25" customHeight="1">
      <c r="A15" s="7"/>
      <c r="B15" s="8">
        <v>10</v>
      </c>
      <c r="C15" s="9" t="s">
        <v>41</v>
      </c>
      <c r="D15" s="7" t="s">
        <v>42</v>
      </c>
      <c r="E15" s="15">
        <v>75</v>
      </c>
      <c r="F15" s="22">
        <v>75</v>
      </c>
      <c r="G15" s="12"/>
    </row>
    <row r="16" spans="1:7" ht="26.25" customHeight="1">
      <c r="A16" s="7"/>
      <c r="B16" s="8">
        <v>11</v>
      </c>
      <c r="C16" s="9" t="s">
        <v>46</v>
      </c>
      <c r="D16" s="7" t="s">
        <v>47</v>
      </c>
      <c r="E16" s="15">
        <v>100</v>
      </c>
      <c r="F16" s="22">
        <v>100</v>
      </c>
      <c r="G16" s="12"/>
    </row>
    <row r="17" spans="1:9" ht="26.25" customHeight="1">
      <c r="A17" s="7"/>
      <c r="B17" s="8">
        <v>12</v>
      </c>
      <c r="C17" s="9" t="s">
        <v>50</v>
      </c>
      <c r="D17" s="7" t="s">
        <v>51</v>
      </c>
      <c r="E17" s="15">
        <v>70</v>
      </c>
      <c r="F17" s="22">
        <v>70</v>
      </c>
      <c r="G17" s="12"/>
    </row>
    <row r="18" spans="1:9" ht="26.25" customHeight="1">
      <c r="A18" s="7"/>
      <c r="B18" s="8">
        <v>13</v>
      </c>
      <c r="C18" s="9" t="s">
        <v>53</v>
      </c>
      <c r="D18" s="7" t="s">
        <v>54</v>
      </c>
      <c r="E18" s="15">
        <v>110</v>
      </c>
      <c r="F18" s="22">
        <v>110</v>
      </c>
      <c r="G18" s="12"/>
    </row>
    <row r="19" spans="1:9" ht="26.25" customHeight="1">
      <c r="A19" s="7"/>
      <c r="B19" s="8">
        <v>14</v>
      </c>
      <c r="C19" s="9" t="s">
        <v>55</v>
      </c>
      <c r="D19" s="7" t="s">
        <v>57</v>
      </c>
      <c r="E19" s="15"/>
      <c r="F19" s="22"/>
      <c r="G19" s="30" t="s">
        <v>58</v>
      </c>
    </row>
    <row r="20" spans="1:9" ht="26.25" customHeight="1">
      <c r="A20" s="7"/>
      <c r="B20" s="8">
        <v>15</v>
      </c>
      <c r="C20" s="9" t="s">
        <v>59</v>
      </c>
      <c r="D20" s="7" t="s">
        <v>60</v>
      </c>
      <c r="E20" s="15">
        <v>50</v>
      </c>
      <c r="F20" s="22">
        <v>50</v>
      </c>
      <c r="G20" s="12"/>
    </row>
    <row r="21" spans="1:9" ht="26.25" customHeight="1">
      <c r="A21" s="7"/>
      <c r="B21" s="8">
        <v>16</v>
      </c>
      <c r="C21" s="9" t="s">
        <v>61</v>
      </c>
      <c r="D21" s="7" t="s">
        <v>62</v>
      </c>
      <c r="E21" s="15">
        <v>108.75</v>
      </c>
      <c r="F21" s="22">
        <v>108.75</v>
      </c>
      <c r="G21" s="12"/>
    </row>
    <row r="22" spans="1:9" ht="26.25" customHeight="1">
      <c r="A22" s="7"/>
      <c r="B22" s="8">
        <v>17</v>
      </c>
      <c r="C22" s="9" t="s">
        <v>63</v>
      </c>
      <c r="D22" s="7" t="s">
        <v>64</v>
      </c>
      <c r="E22" s="15">
        <v>100</v>
      </c>
      <c r="F22" s="22">
        <v>100</v>
      </c>
      <c r="G22" s="12"/>
    </row>
    <row r="23" spans="1:9" ht="26.25" customHeight="1">
      <c r="A23" s="7"/>
      <c r="B23" s="8">
        <v>18</v>
      </c>
      <c r="C23" s="9" t="s">
        <v>65</v>
      </c>
      <c r="D23" s="7" t="s">
        <v>66</v>
      </c>
      <c r="E23" s="15">
        <v>125</v>
      </c>
      <c r="F23" s="22">
        <v>125</v>
      </c>
      <c r="G23" s="12"/>
    </row>
    <row r="24" spans="1:9" ht="26.25" customHeight="1">
      <c r="A24" s="7"/>
      <c r="B24" s="8">
        <v>19</v>
      </c>
      <c r="C24" s="9" t="s">
        <v>68</v>
      </c>
      <c r="D24" s="7" t="s">
        <v>69</v>
      </c>
      <c r="E24" s="15">
        <v>75</v>
      </c>
      <c r="F24" s="22">
        <v>75</v>
      </c>
      <c r="G24" s="12"/>
    </row>
    <row r="25" spans="1:9" ht="26.25" customHeight="1">
      <c r="A25" s="7"/>
      <c r="B25" s="8">
        <v>20</v>
      </c>
      <c r="C25" s="9" t="s">
        <v>71</v>
      </c>
      <c r="D25" s="7" t="s">
        <v>72</v>
      </c>
      <c r="E25" s="15">
        <v>126</v>
      </c>
      <c r="F25" s="22">
        <v>126</v>
      </c>
      <c r="G25" s="12"/>
    </row>
    <row r="26" spans="1:9" ht="26.25" customHeight="1">
      <c r="A26" s="7"/>
      <c r="B26" s="8">
        <v>21</v>
      </c>
      <c r="C26" s="9" t="s">
        <v>73</v>
      </c>
      <c r="D26" s="7" t="s">
        <v>74</v>
      </c>
      <c r="E26" s="15">
        <v>120</v>
      </c>
      <c r="F26" s="22">
        <v>120</v>
      </c>
      <c r="G26" s="12"/>
    </row>
    <row r="27" spans="1:9" ht="26.25" customHeight="1">
      <c r="A27" s="7"/>
      <c r="B27" s="8">
        <v>22</v>
      </c>
      <c r="C27" s="9" t="s">
        <v>75</v>
      </c>
      <c r="D27" s="7" t="s">
        <v>76</v>
      </c>
      <c r="E27" s="15">
        <v>100</v>
      </c>
      <c r="F27" s="22">
        <v>100</v>
      </c>
      <c r="G27" s="12"/>
    </row>
    <row r="28" spans="1:9" ht="26.25" customHeight="1">
      <c r="A28" s="7"/>
      <c r="B28" s="8">
        <v>23</v>
      </c>
      <c r="C28" s="9" t="s">
        <v>79</v>
      </c>
      <c r="D28" s="7" t="s">
        <v>80</v>
      </c>
      <c r="E28" s="15">
        <v>100</v>
      </c>
      <c r="F28" s="22">
        <v>100</v>
      </c>
      <c r="G28" s="12"/>
    </row>
    <row r="29" spans="1:9" ht="26.25" customHeight="1">
      <c r="A29" s="7"/>
      <c r="B29" s="8">
        <v>24</v>
      </c>
      <c r="C29" s="9" t="s">
        <v>82</v>
      </c>
      <c r="D29" s="7" t="s">
        <v>83</v>
      </c>
      <c r="E29" s="15">
        <v>126</v>
      </c>
      <c r="F29" s="22">
        <v>126</v>
      </c>
      <c r="G29" s="12"/>
    </row>
    <row r="30" spans="1:9" ht="26.25" customHeight="1">
      <c r="A30" s="7"/>
      <c r="B30" s="8">
        <v>25</v>
      </c>
      <c r="C30" s="9" t="s">
        <v>86</v>
      </c>
      <c r="D30" s="7" t="s">
        <v>87</v>
      </c>
      <c r="E30" s="15">
        <v>60</v>
      </c>
      <c r="F30" s="13">
        <v>60</v>
      </c>
      <c r="G30" s="12"/>
      <c r="I30" s="34"/>
    </row>
    <row r="31" spans="1:9" ht="26.25" customHeight="1">
      <c r="A31" s="7"/>
      <c r="B31" s="8">
        <v>26</v>
      </c>
      <c r="C31" s="9" t="s">
        <v>90</v>
      </c>
      <c r="D31" s="7" t="s">
        <v>91</v>
      </c>
      <c r="E31" s="15">
        <v>120</v>
      </c>
      <c r="F31" s="13">
        <v>120</v>
      </c>
      <c r="G31" s="12"/>
    </row>
    <row r="32" spans="1:9" ht="26.25" customHeight="1">
      <c r="A32" s="7"/>
      <c r="B32" s="8">
        <v>27</v>
      </c>
      <c r="C32" s="9" t="s">
        <v>93</v>
      </c>
      <c r="D32" s="7" t="s">
        <v>95</v>
      </c>
      <c r="E32" s="15">
        <v>65</v>
      </c>
      <c r="F32" s="13">
        <v>65</v>
      </c>
      <c r="G32" s="12"/>
    </row>
    <row r="33" spans="1:27" ht="26.25" customHeight="1">
      <c r="A33" s="7"/>
      <c r="B33" s="8">
        <v>28</v>
      </c>
      <c r="C33" s="9" t="s">
        <v>77</v>
      </c>
      <c r="D33" s="7" t="s">
        <v>96</v>
      </c>
      <c r="E33" s="15">
        <v>100</v>
      </c>
      <c r="F33" s="13">
        <v>100</v>
      </c>
      <c r="G33" s="12"/>
    </row>
    <row r="34" spans="1:27" ht="26.25" customHeight="1">
      <c r="A34" s="7"/>
      <c r="B34" s="8">
        <v>29</v>
      </c>
      <c r="C34" s="36" t="s">
        <v>99</v>
      </c>
      <c r="D34" s="7" t="s">
        <v>100</v>
      </c>
      <c r="E34" s="10">
        <v>25</v>
      </c>
      <c r="F34" s="13">
        <v>25</v>
      </c>
      <c r="G34" s="12"/>
    </row>
    <row r="35" spans="1:27" ht="26.25" customHeight="1">
      <c r="A35" s="7"/>
      <c r="B35" s="8">
        <v>30</v>
      </c>
      <c r="C35" s="36" t="s">
        <v>102</v>
      </c>
      <c r="D35" s="7" t="s">
        <v>103</v>
      </c>
      <c r="E35" s="10">
        <v>100</v>
      </c>
      <c r="F35" s="13">
        <v>100</v>
      </c>
      <c r="G35" s="12"/>
    </row>
    <row r="36" spans="1:27" ht="26.25" customHeight="1">
      <c r="A36" s="7"/>
      <c r="B36" s="8">
        <v>31</v>
      </c>
      <c r="C36" s="36" t="s">
        <v>105</v>
      </c>
      <c r="D36" s="7" t="s">
        <v>106</v>
      </c>
      <c r="E36" s="10">
        <v>130</v>
      </c>
      <c r="F36" s="13">
        <v>130</v>
      </c>
      <c r="G36" s="12"/>
    </row>
    <row r="37" spans="1:27" ht="26.25" customHeight="1">
      <c r="A37" s="7"/>
      <c r="B37" s="8"/>
      <c r="C37" s="9"/>
      <c r="D37" s="7"/>
      <c r="E37" s="10"/>
      <c r="F37" s="13"/>
      <c r="G37" s="12"/>
    </row>
    <row r="38" spans="1:27" ht="26.25" customHeight="1">
      <c r="A38" s="42"/>
      <c r="B38" s="43"/>
      <c r="C38" s="44"/>
      <c r="D38" s="46"/>
      <c r="E38" s="48">
        <f t="shared" ref="E38:F38" si="0">SUM(E6:E37)</f>
        <v>2845.75</v>
      </c>
      <c r="F38" s="48">
        <f t="shared" si="0"/>
        <v>2845.75</v>
      </c>
      <c r="G38" s="51">
        <f>E38-F38</f>
        <v>0</v>
      </c>
    </row>
    <row r="39" spans="1:27" ht="26.25" customHeight="1">
      <c r="A39" s="53"/>
      <c r="B39" s="53"/>
      <c r="C39" s="53"/>
      <c r="D39" s="53"/>
      <c r="E39" s="54"/>
      <c r="F39" s="54"/>
      <c r="G39" s="54"/>
    </row>
    <row r="40" spans="1:27" ht="26.25" customHeight="1">
      <c r="A40" s="55"/>
      <c r="B40" s="215" t="s">
        <v>136</v>
      </c>
      <c r="C40" s="192"/>
      <c r="D40" s="192"/>
      <c r="E40" s="192"/>
      <c r="F40" s="192"/>
      <c r="G40" s="193"/>
    </row>
    <row r="41" spans="1:27" ht="26.25" customHeight="1">
      <c r="A41" s="56"/>
      <c r="B41" s="194" t="s">
        <v>1</v>
      </c>
      <c r="C41" s="196" t="s">
        <v>2</v>
      </c>
      <c r="D41" s="198" t="s">
        <v>4</v>
      </c>
      <c r="E41" s="200" t="s">
        <v>5</v>
      </c>
      <c r="F41" s="202" t="s">
        <v>6</v>
      </c>
      <c r="G41" s="203" t="s">
        <v>7</v>
      </c>
    </row>
    <row r="42" spans="1:27" ht="26.25" customHeight="1">
      <c r="A42" s="56"/>
      <c r="B42" s="195"/>
      <c r="C42" s="197"/>
      <c r="D42" s="199"/>
      <c r="E42" s="201"/>
      <c r="F42" s="195"/>
      <c r="G42" s="197"/>
    </row>
    <row r="43" spans="1:27" ht="26.25" customHeight="1">
      <c r="A43" s="7"/>
      <c r="B43" s="58"/>
      <c r="C43" s="59" t="s">
        <v>163</v>
      </c>
      <c r="D43" s="58"/>
      <c r="E43" s="60"/>
      <c r="F43" s="61"/>
      <c r="G43" s="60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spans="1:27" ht="26.25" customHeight="1">
      <c r="A44" s="7"/>
      <c r="B44" s="23">
        <v>1</v>
      </c>
      <c r="C44" s="63" t="s">
        <v>177</v>
      </c>
      <c r="D44" s="64" t="s">
        <v>181</v>
      </c>
      <c r="E44" s="32">
        <v>75</v>
      </c>
      <c r="F44" s="13">
        <v>75</v>
      </c>
      <c r="G44" s="60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spans="1:27" ht="26.25" customHeight="1">
      <c r="A45" s="7"/>
      <c r="B45" s="23">
        <f>B44+1</f>
        <v>2</v>
      </c>
      <c r="C45" s="19" t="s">
        <v>191</v>
      </c>
      <c r="D45" s="64" t="s">
        <v>192</v>
      </c>
      <c r="E45" s="32">
        <v>25</v>
      </c>
      <c r="F45" s="13">
        <v>25</v>
      </c>
      <c r="G45" s="60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spans="1:27" ht="26.25" customHeight="1">
      <c r="A46" s="7"/>
      <c r="B46" s="23">
        <v>3</v>
      </c>
      <c r="C46" s="19" t="s">
        <v>193</v>
      </c>
      <c r="D46" s="64" t="s">
        <v>194</v>
      </c>
      <c r="E46" s="32">
        <v>125</v>
      </c>
      <c r="F46" s="13">
        <v>125</v>
      </c>
      <c r="G46" s="60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spans="1:27" ht="26.25" customHeight="1">
      <c r="A47" s="7"/>
      <c r="B47" s="23">
        <v>4</v>
      </c>
      <c r="C47" s="19" t="s">
        <v>70</v>
      </c>
      <c r="D47" s="64" t="s">
        <v>196</v>
      </c>
      <c r="E47" s="32">
        <v>60</v>
      </c>
      <c r="F47" s="13">
        <v>60</v>
      </c>
      <c r="G47" s="60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spans="1:27" ht="26.25" customHeight="1">
      <c r="A48" s="7"/>
      <c r="B48" s="23">
        <v>5</v>
      </c>
      <c r="C48" s="73" t="s">
        <v>52</v>
      </c>
      <c r="D48" s="64" t="s">
        <v>199</v>
      </c>
      <c r="E48" s="32">
        <v>50</v>
      </c>
      <c r="F48" s="13">
        <v>50</v>
      </c>
      <c r="G48" s="60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spans="1:27" ht="26.25" customHeight="1">
      <c r="A49" s="7"/>
      <c r="B49" s="23">
        <v>6</v>
      </c>
      <c r="C49" s="63" t="s">
        <v>201</v>
      </c>
      <c r="D49" s="64" t="s">
        <v>203</v>
      </c>
      <c r="E49" s="35">
        <v>80</v>
      </c>
      <c r="F49" s="13">
        <v>80</v>
      </c>
      <c r="G49" s="60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spans="1:27" ht="26.25" customHeight="1">
      <c r="A50" s="7"/>
      <c r="B50" s="23">
        <v>7</v>
      </c>
      <c r="C50" s="19" t="s">
        <v>205</v>
      </c>
      <c r="D50" s="64" t="s">
        <v>206</v>
      </c>
      <c r="E50" s="35">
        <v>300</v>
      </c>
      <c r="F50" s="13">
        <v>300</v>
      </c>
      <c r="G50" s="60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spans="1:27" ht="26.25" customHeight="1">
      <c r="A51" s="7"/>
      <c r="B51" s="23">
        <v>8</v>
      </c>
      <c r="C51" s="63" t="s">
        <v>110</v>
      </c>
      <c r="D51" s="64" t="s">
        <v>207</v>
      </c>
      <c r="E51" s="35">
        <v>160</v>
      </c>
      <c r="F51" s="13">
        <v>160</v>
      </c>
      <c r="G51" s="60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spans="1:27" ht="26.25" customHeight="1">
      <c r="A52" s="7"/>
      <c r="B52" s="23">
        <v>9</v>
      </c>
      <c r="C52" s="63" t="s">
        <v>208</v>
      </c>
      <c r="D52" s="64" t="s">
        <v>209</v>
      </c>
      <c r="E52" s="35">
        <v>200</v>
      </c>
      <c r="F52" s="13">
        <v>200</v>
      </c>
      <c r="G52" s="60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spans="1:27" ht="26.25" customHeight="1">
      <c r="A53" s="7"/>
      <c r="B53" s="23">
        <v>10</v>
      </c>
      <c r="C53" s="63" t="s">
        <v>210</v>
      </c>
      <c r="D53" s="64" t="s">
        <v>212</v>
      </c>
      <c r="E53" s="35">
        <v>65</v>
      </c>
      <c r="F53" s="13">
        <v>65</v>
      </c>
      <c r="G53" s="60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spans="1:27" ht="26.25" customHeight="1">
      <c r="A54" s="7"/>
      <c r="B54" s="23">
        <v>11</v>
      </c>
      <c r="C54" s="63" t="s">
        <v>86</v>
      </c>
      <c r="D54" s="64" t="s">
        <v>214</v>
      </c>
      <c r="E54" s="35">
        <v>60</v>
      </c>
      <c r="F54" s="13">
        <v>60</v>
      </c>
      <c r="G54" s="60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1:27" ht="26.25" customHeight="1">
      <c r="A55" s="7"/>
      <c r="B55" s="23">
        <v>12</v>
      </c>
      <c r="C55" s="63" t="s">
        <v>215</v>
      </c>
      <c r="D55" s="64" t="s">
        <v>216</v>
      </c>
      <c r="E55" s="35">
        <v>100</v>
      </c>
      <c r="F55" s="13">
        <v>100</v>
      </c>
      <c r="G55" s="60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1:27" ht="26.25" customHeight="1">
      <c r="A56" s="7"/>
      <c r="B56" s="23">
        <v>13</v>
      </c>
      <c r="C56" s="63" t="s">
        <v>82</v>
      </c>
      <c r="D56" s="64" t="s">
        <v>218</v>
      </c>
      <c r="E56" s="35">
        <v>126</v>
      </c>
      <c r="F56" s="13">
        <v>126</v>
      </c>
      <c r="G56" s="60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 spans="1:27" ht="26.25" customHeight="1">
      <c r="A57" s="7"/>
      <c r="B57" s="23">
        <v>14</v>
      </c>
      <c r="C57" s="63" t="s">
        <v>71</v>
      </c>
      <c r="D57" s="64" t="s">
        <v>219</v>
      </c>
      <c r="E57" s="35">
        <v>126</v>
      </c>
      <c r="F57" s="13">
        <v>126</v>
      </c>
      <c r="G57" s="60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</row>
    <row r="58" spans="1:27" ht="26.25" customHeight="1">
      <c r="A58" s="7"/>
      <c r="B58" s="23">
        <v>15</v>
      </c>
      <c r="C58" s="63" t="s">
        <v>220</v>
      </c>
      <c r="D58" s="64" t="s">
        <v>221</v>
      </c>
      <c r="E58" s="35">
        <v>100</v>
      </c>
      <c r="F58" s="13">
        <v>100</v>
      </c>
      <c r="G58" s="60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</row>
    <row r="59" spans="1:27" ht="26.25" customHeight="1">
      <c r="A59" s="7"/>
      <c r="B59" s="23">
        <v>16</v>
      </c>
      <c r="C59" s="63" t="s">
        <v>222</v>
      </c>
      <c r="D59" s="64" t="s">
        <v>224</v>
      </c>
      <c r="E59" s="35">
        <v>50</v>
      </c>
      <c r="F59" s="13">
        <v>50</v>
      </c>
      <c r="G59" s="60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</row>
    <row r="60" spans="1:27" ht="26.25" customHeight="1">
      <c r="A60" s="7"/>
      <c r="B60" s="23">
        <v>17</v>
      </c>
      <c r="C60" s="63" t="s">
        <v>225</v>
      </c>
      <c r="D60" s="64" t="s">
        <v>226</v>
      </c>
      <c r="E60" s="35">
        <v>100</v>
      </c>
      <c r="F60" s="13">
        <v>100</v>
      </c>
      <c r="G60" s="60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</row>
    <row r="61" spans="1:27" ht="26.25" customHeight="1">
      <c r="A61" s="7"/>
      <c r="B61" s="23">
        <v>18</v>
      </c>
      <c r="C61" s="63" t="s">
        <v>228</v>
      </c>
      <c r="D61" s="64" t="s">
        <v>230</v>
      </c>
      <c r="E61" s="35">
        <v>125</v>
      </c>
      <c r="F61" s="13">
        <v>125</v>
      </c>
      <c r="G61" s="60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</row>
    <row r="62" spans="1:27" ht="26.25" customHeight="1">
      <c r="A62" s="7"/>
      <c r="B62" s="23">
        <v>19</v>
      </c>
      <c r="C62" s="63" t="s">
        <v>233</v>
      </c>
      <c r="D62" s="64" t="s">
        <v>234</v>
      </c>
      <c r="E62" s="35">
        <v>75</v>
      </c>
      <c r="F62" s="13">
        <v>75</v>
      </c>
      <c r="G62" s="60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 spans="1:27" ht="26.25" customHeight="1">
      <c r="A63" s="7"/>
      <c r="B63" s="23">
        <v>20</v>
      </c>
      <c r="C63" s="63" t="s">
        <v>237</v>
      </c>
      <c r="D63" s="64" t="s">
        <v>238</v>
      </c>
      <c r="E63" s="35">
        <v>100</v>
      </c>
      <c r="F63" s="13">
        <v>100</v>
      </c>
      <c r="G63" s="60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</row>
    <row r="64" spans="1:27" ht="26.25" customHeight="1">
      <c r="A64" s="7"/>
      <c r="B64" s="23">
        <v>21</v>
      </c>
      <c r="C64" s="63" t="s">
        <v>17</v>
      </c>
      <c r="D64" s="64" t="s">
        <v>241</v>
      </c>
      <c r="E64" s="35">
        <v>85</v>
      </c>
      <c r="F64" s="13">
        <v>85</v>
      </c>
      <c r="G64" s="60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</row>
    <row r="65" spans="1:27" ht="26.25" customHeight="1">
      <c r="A65" s="7"/>
      <c r="B65" s="23">
        <v>22</v>
      </c>
      <c r="C65" s="63" t="s">
        <v>244</v>
      </c>
      <c r="D65" s="64" t="s">
        <v>246</v>
      </c>
      <c r="E65" s="35">
        <v>225</v>
      </c>
      <c r="F65" s="13">
        <v>225</v>
      </c>
      <c r="G65" s="60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 spans="1:27" ht="26.25" customHeight="1">
      <c r="A66" s="7"/>
      <c r="B66" s="23">
        <v>23</v>
      </c>
      <c r="C66" s="63" t="s">
        <v>250</v>
      </c>
      <c r="D66" s="64" t="s">
        <v>251</v>
      </c>
      <c r="E66" s="35">
        <v>200</v>
      </c>
      <c r="F66" s="13">
        <v>200</v>
      </c>
      <c r="G66" s="60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 spans="1:27" ht="26.25" customHeight="1">
      <c r="A67" s="7"/>
      <c r="B67" s="23">
        <v>24</v>
      </c>
      <c r="C67" s="63" t="s">
        <v>256</v>
      </c>
      <c r="D67" s="64" t="s">
        <v>257</v>
      </c>
      <c r="E67" s="35">
        <v>100</v>
      </c>
      <c r="F67" s="13">
        <v>100</v>
      </c>
      <c r="G67" s="60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</row>
    <row r="68" spans="1:27" ht="26.25" customHeight="1">
      <c r="A68" s="7"/>
      <c r="B68" s="23">
        <v>25</v>
      </c>
      <c r="C68" s="63" t="s">
        <v>260</v>
      </c>
      <c r="D68" s="64" t="s">
        <v>262</v>
      </c>
      <c r="E68" s="35">
        <v>100</v>
      </c>
      <c r="F68" s="13">
        <v>100</v>
      </c>
      <c r="G68" s="60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</row>
    <row r="69" spans="1:27" ht="26.25" customHeight="1">
      <c r="A69" s="7"/>
      <c r="B69" s="23">
        <v>26</v>
      </c>
      <c r="C69" s="63" t="s">
        <v>265</v>
      </c>
      <c r="D69" s="64" t="s">
        <v>267</v>
      </c>
      <c r="E69" s="35">
        <v>100</v>
      </c>
      <c r="F69" s="13">
        <v>100</v>
      </c>
      <c r="G69" s="60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spans="1:27" ht="26.25" customHeight="1">
      <c r="A70" s="7"/>
      <c r="B70" s="23">
        <v>27</v>
      </c>
      <c r="C70" s="63" t="s">
        <v>271</v>
      </c>
      <c r="D70" s="64" t="s">
        <v>272</v>
      </c>
      <c r="E70" s="35">
        <v>25</v>
      </c>
      <c r="F70" s="13">
        <v>25</v>
      </c>
      <c r="G70" s="60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 spans="1:27" ht="26.25" customHeight="1">
      <c r="A71" s="7"/>
      <c r="B71" s="23">
        <v>28</v>
      </c>
      <c r="C71" s="63" t="s">
        <v>142</v>
      </c>
      <c r="D71" s="64" t="s">
        <v>276</v>
      </c>
      <c r="E71" s="35">
        <v>100</v>
      </c>
      <c r="F71" s="13">
        <v>100</v>
      </c>
      <c r="G71" s="60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</row>
    <row r="72" spans="1:27" ht="26.25" customHeight="1">
      <c r="A72" s="7"/>
      <c r="B72" s="23">
        <v>29</v>
      </c>
      <c r="C72" s="63" t="s">
        <v>229</v>
      </c>
      <c r="D72" s="64" t="s">
        <v>278</v>
      </c>
      <c r="E72" s="35">
        <v>100</v>
      </c>
      <c r="F72" s="13">
        <v>100</v>
      </c>
      <c r="G72" s="60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</row>
    <row r="73" spans="1:27" ht="26.25" customHeight="1">
      <c r="A73" s="7"/>
      <c r="B73" s="23">
        <v>30</v>
      </c>
      <c r="C73" s="63" t="s">
        <v>281</v>
      </c>
      <c r="D73" s="64" t="s">
        <v>282</v>
      </c>
      <c r="E73" s="35">
        <v>200</v>
      </c>
      <c r="F73" s="13">
        <v>200</v>
      </c>
      <c r="G73" s="60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</row>
    <row r="74" spans="1:27" ht="26.25" customHeight="1">
      <c r="A74" s="7"/>
      <c r="B74" s="23">
        <v>31</v>
      </c>
      <c r="C74" s="63" t="s">
        <v>283</v>
      </c>
      <c r="D74" s="64" t="s">
        <v>284</v>
      </c>
      <c r="E74" s="35"/>
      <c r="F74" s="61"/>
      <c r="G74" s="84">
        <v>50</v>
      </c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</row>
    <row r="75" spans="1:27" ht="26.25" customHeight="1">
      <c r="A75" s="7"/>
      <c r="B75" s="58"/>
      <c r="C75" s="58"/>
      <c r="D75" s="58"/>
      <c r="E75" s="60"/>
      <c r="F75" s="60"/>
      <c r="G75" s="60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</row>
    <row r="76" spans="1:27" ht="26.25" customHeight="1">
      <c r="A76" s="7"/>
      <c r="B76" s="85"/>
      <c r="C76" s="85"/>
      <c r="D76" s="85"/>
      <c r="E76" s="86">
        <f t="shared" ref="E76:F76" si="1">SUM(E43:E75)</f>
        <v>3337</v>
      </c>
      <c r="F76" s="86">
        <f t="shared" si="1"/>
        <v>3337</v>
      </c>
      <c r="G76" s="86">
        <f>E76-F76</f>
        <v>0</v>
      </c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</row>
    <row r="77" spans="1:27" ht="26.25" customHeight="1">
      <c r="A77" s="53"/>
      <c r="B77" s="53"/>
      <c r="C77" s="53"/>
      <c r="D77" s="53"/>
      <c r="E77" s="54"/>
      <c r="F77" s="54"/>
      <c r="G77" s="54"/>
    </row>
    <row r="78" spans="1:27" ht="26.25" customHeight="1">
      <c r="A78" s="55"/>
      <c r="B78" s="215" t="s">
        <v>292</v>
      </c>
      <c r="C78" s="192"/>
      <c r="D78" s="192"/>
      <c r="E78" s="192"/>
      <c r="F78" s="192"/>
      <c r="G78" s="193"/>
    </row>
    <row r="79" spans="1:27" ht="26.25" customHeight="1">
      <c r="A79" s="90"/>
      <c r="B79" s="194" t="s">
        <v>1</v>
      </c>
      <c r="C79" s="196" t="s">
        <v>2</v>
      </c>
      <c r="D79" s="198" t="s">
        <v>4</v>
      </c>
      <c r="E79" s="200" t="s">
        <v>5</v>
      </c>
      <c r="F79" s="202" t="s">
        <v>6</v>
      </c>
      <c r="G79" s="203" t="s">
        <v>7</v>
      </c>
    </row>
    <row r="80" spans="1:27" ht="26.25" customHeight="1">
      <c r="A80" s="90"/>
      <c r="B80" s="195"/>
      <c r="C80" s="197"/>
      <c r="D80" s="199"/>
      <c r="E80" s="201"/>
      <c r="F80" s="195"/>
      <c r="G80" s="197"/>
    </row>
    <row r="81" spans="1:27" ht="26.25" customHeight="1">
      <c r="A81" s="7"/>
      <c r="B81" s="58"/>
      <c r="C81" s="59" t="s">
        <v>299</v>
      </c>
      <c r="D81" s="58"/>
      <c r="E81" s="60"/>
      <c r="F81" s="60"/>
      <c r="G81" s="60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</row>
    <row r="82" spans="1:27" ht="26.25" customHeight="1">
      <c r="A82" s="7"/>
      <c r="B82" s="23">
        <v>1</v>
      </c>
      <c r="C82" s="63" t="s">
        <v>20</v>
      </c>
      <c r="D82" s="64" t="s">
        <v>302</v>
      </c>
      <c r="E82" s="32">
        <v>120</v>
      </c>
      <c r="F82" s="13">
        <v>120</v>
      </c>
      <c r="G82" s="60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</row>
    <row r="83" spans="1:27" ht="26.25" customHeight="1">
      <c r="A83" s="7"/>
      <c r="B83" s="23">
        <v>2</v>
      </c>
      <c r="C83" s="19" t="s">
        <v>305</v>
      </c>
      <c r="D83" s="64" t="s">
        <v>306</v>
      </c>
      <c r="E83" s="32">
        <v>125</v>
      </c>
      <c r="F83" s="13">
        <v>125</v>
      </c>
      <c r="G83" s="60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</row>
    <row r="84" spans="1:27" ht="26.25" customHeight="1">
      <c r="A84" s="7"/>
      <c r="B84" s="23">
        <v>3</v>
      </c>
      <c r="C84" s="19" t="s">
        <v>309</v>
      </c>
      <c r="D84" s="64" t="s">
        <v>310</v>
      </c>
      <c r="E84" s="32">
        <v>160</v>
      </c>
      <c r="F84" s="13">
        <v>160</v>
      </c>
      <c r="G84" s="60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</row>
    <row r="85" spans="1:27" ht="26.25" customHeight="1">
      <c r="A85" s="7"/>
      <c r="B85" s="23">
        <v>4</v>
      </c>
      <c r="C85" s="19" t="s">
        <v>189</v>
      </c>
      <c r="D85" s="64" t="s">
        <v>312</v>
      </c>
      <c r="E85" s="32">
        <v>25</v>
      </c>
      <c r="F85" s="13">
        <v>25</v>
      </c>
      <c r="G85" s="60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</row>
    <row r="86" spans="1:27" ht="26.25" customHeight="1">
      <c r="A86" s="7"/>
      <c r="B86" s="23">
        <v>5</v>
      </c>
      <c r="C86" s="73" t="s">
        <v>231</v>
      </c>
      <c r="D86" s="64" t="s">
        <v>314</v>
      </c>
      <c r="E86" s="32">
        <v>100</v>
      </c>
      <c r="F86" s="13">
        <v>100</v>
      </c>
      <c r="G86" s="60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</row>
    <row r="87" spans="1:27" ht="26.25" customHeight="1">
      <c r="A87" s="7"/>
      <c r="B87" s="23">
        <v>6</v>
      </c>
      <c r="C87" s="63" t="s">
        <v>107</v>
      </c>
      <c r="D87" s="64" t="s">
        <v>316</v>
      </c>
      <c r="E87" s="35">
        <v>25</v>
      </c>
      <c r="F87" s="13">
        <v>25</v>
      </c>
      <c r="G87" s="60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</row>
    <row r="88" spans="1:27" ht="26.25" customHeight="1">
      <c r="A88" s="7"/>
      <c r="B88" s="23">
        <v>7</v>
      </c>
      <c r="C88" s="19" t="s">
        <v>319</v>
      </c>
      <c r="D88" s="64" t="s">
        <v>320</v>
      </c>
      <c r="E88" s="35">
        <v>25</v>
      </c>
      <c r="F88" s="13">
        <v>25</v>
      </c>
      <c r="G88" s="60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</row>
    <row r="89" spans="1:27" ht="26.25" customHeight="1">
      <c r="A89" s="7"/>
      <c r="B89" s="23">
        <v>8</v>
      </c>
      <c r="C89" s="63" t="s">
        <v>285</v>
      </c>
      <c r="D89" s="64" t="s">
        <v>323</v>
      </c>
      <c r="E89" s="35">
        <v>100</v>
      </c>
      <c r="F89" s="13">
        <v>100</v>
      </c>
      <c r="G89" s="60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</row>
    <row r="90" spans="1:27" ht="26.25" customHeight="1">
      <c r="A90" s="7"/>
      <c r="B90" s="23">
        <v>9</v>
      </c>
      <c r="C90" s="63" t="s">
        <v>326</v>
      </c>
      <c r="D90" s="64" t="s">
        <v>327</v>
      </c>
      <c r="E90" s="35">
        <v>25</v>
      </c>
      <c r="F90" s="13">
        <v>25</v>
      </c>
      <c r="G90" s="60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</row>
    <row r="91" spans="1:27" ht="26.25" customHeight="1">
      <c r="A91" s="7"/>
      <c r="B91" s="23">
        <v>10</v>
      </c>
      <c r="C91" s="63" t="s">
        <v>329</v>
      </c>
      <c r="D91" s="64" t="s">
        <v>330</v>
      </c>
      <c r="E91" s="35">
        <v>20</v>
      </c>
      <c r="F91" s="13">
        <v>20</v>
      </c>
      <c r="G91" s="60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</row>
    <row r="92" spans="1:27" ht="26.25" customHeight="1">
      <c r="A92" s="7"/>
      <c r="B92" s="23">
        <v>11</v>
      </c>
      <c r="C92" s="63" t="s">
        <v>334</v>
      </c>
      <c r="D92" s="64" t="s">
        <v>335</v>
      </c>
      <c r="E92" s="35">
        <v>120</v>
      </c>
      <c r="F92" s="13">
        <v>120</v>
      </c>
      <c r="G92" s="60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</row>
    <row r="93" spans="1:27" ht="26.25" customHeight="1">
      <c r="A93" s="7"/>
      <c r="B93" s="23">
        <v>12</v>
      </c>
      <c r="C93" s="63" t="s">
        <v>125</v>
      </c>
      <c r="D93" s="64" t="s">
        <v>337</v>
      </c>
      <c r="E93" s="35">
        <v>120</v>
      </c>
      <c r="F93" s="13">
        <v>120</v>
      </c>
      <c r="G93" s="60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</row>
    <row r="94" spans="1:27" ht="26.25" customHeight="1">
      <c r="A94" s="7"/>
      <c r="B94" s="23">
        <v>13</v>
      </c>
      <c r="C94" s="63" t="s">
        <v>97</v>
      </c>
      <c r="D94" s="64" t="s">
        <v>339</v>
      </c>
      <c r="E94" s="35">
        <v>100</v>
      </c>
      <c r="F94" s="94">
        <v>100</v>
      </c>
      <c r="G94" s="35">
        <v>100</v>
      </c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</row>
    <row r="95" spans="1:27" ht="26.25" customHeight="1">
      <c r="A95" s="7"/>
      <c r="B95" s="23">
        <v>14</v>
      </c>
      <c r="C95" s="63" t="s">
        <v>101</v>
      </c>
      <c r="D95" s="64" t="s">
        <v>342</v>
      </c>
      <c r="E95" s="35">
        <v>75</v>
      </c>
      <c r="F95" s="13">
        <v>75</v>
      </c>
      <c r="G95" s="60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</row>
    <row r="96" spans="1:27" ht="26.25" customHeight="1">
      <c r="A96" s="7"/>
      <c r="B96" s="23">
        <v>15</v>
      </c>
      <c r="C96" s="63" t="s">
        <v>90</v>
      </c>
      <c r="D96" s="64" t="s">
        <v>346</v>
      </c>
      <c r="E96" s="35">
        <v>120</v>
      </c>
      <c r="F96" s="13">
        <v>120</v>
      </c>
      <c r="G96" s="60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</row>
    <row r="97" spans="1:27" ht="26.25" customHeight="1">
      <c r="A97" s="7"/>
      <c r="B97" s="23">
        <v>16</v>
      </c>
      <c r="C97" s="63" t="s">
        <v>79</v>
      </c>
      <c r="D97" s="64" t="s">
        <v>348</v>
      </c>
      <c r="E97" s="35">
        <v>100</v>
      </c>
      <c r="F97" s="13">
        <v>100</v>
      </c>
      <c r="G97" s="60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</row>
    <row r="98" spans="1:27" ht="26.25" customHeight="1">
      <c r="A98" s="7"/>
      <c r="B98" s="23">
        <v>17</v>
      </c>
      <c r="C98" s="63" t="s">
        <v>71</v>
      </c>
      <c r="D98" s="64" t="s">
        <v>351</v>
      </c>
      <c r="E98" s="35">
        <v>126</v>
      </c>
      <c r="F98" s="13">
        <v>126</v>
      </c>
      <c r="G98" s="60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</row>
    <row r="99" spans="1:27" ht="26.25" customHeight="1">
      <c r="A99" s="7"/>
      <c r="B99" s="23">
        <v>18</v>
      </c>
      <c r="C99" s="63" t="s">
        <v>86</v>
      </c>
      <c r="D99" s="64" t="s">
        <v>354</v>
      </c>
      <c r="E99" s="35">
        <v>60</v>
      </c>
      <c r="F99" s="13">
        <v>60</v>
      </c>
      <c r="G99" s="60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</row>
    <row r="100" spans="1:27" ht="26.25" customHeight="1">
      <c r="A100" s="7"/>
      <c r="B100" s="23">
        <v>19</v>
      </c>
      <c r="C100" s="63" t="s">
        <v>82</v>
      </c>
      <c r="D100" s="64" t="s">
        <v>359</v>
      </c>
      <c r="E100" s="35">
        <v>126</v>
      </c>
      <c r="F100" s="13">
        <v>126</v>
      </c>
      <c r="G100" s="60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</row>
    <row r="101" spans="1:27" ht="26.25" customHeight="1">
      <c r="A101" s="7"/>
      <c r="B101" s="23">
        <v>20</v>
      </c>
      <c r="C101" s="63" t="s">
        <v>362</v>
      </c>
      <c r="D101" s="64" t="s">
        <v>363</v>
      </c>
      <c r="E101" s="35">
        <v>130</v>
      </c>
      <c r="F101" s="13">
        <v>130</v>
      </c>
      <c r="G101" s="60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</row>
    <row r="102" spans="1:27" ht="26.25" customHeight="1">
      <c r="A102" s="7"/>
      <c r="B102" s="23">
        <v>21</v>
      </c>
      <c r="C102" s="63" t="s">
        <v>210</v>
      </c>
      <c r="D102" s="64" t="s">
        <v>367</v>
      </c>
      <c r="E102" s="35">
        <v>65</v>
      </c>
      <c r="F102" s="13">
        <v>65</v>
      </c>
      <c r="G102" s="60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</row>
    <row r="103" spans="1:27" ht="26.25" customHeight="1">
      <c r="A103" s="7"/>
      <c r="B103" s="23">
        <v>22</v>
      </c>
      <c r="C103" s="63" t="s">
        <v>369</v>
      </c>
      <c r="D103" s="64" t="s">
        <v>370</v>
      </c>
      <c r="E103" s="35">
        <v>100</v>
      </c>
      <c r="F103" s="13">
        <v>100</v>
      </c>
      <c r="G103" s="60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</row>
    <row r="104" spans="1:27" ht="26.25" customHeight="1">
      <c r="A104" s="7"/>
      <c r="B104" s="23">
        <v>23</v>
      </c>
      <c r="C104" s="63" t="s">
        <v>70</v>
      </c>
      <c r="D104" s="64" t="s">
        <v>373</v>
      </c>
      <c r="E104" s="35">
        <v>120</v>
      </c>
      <c r="F104" s="13">
        <v>120</v>
      </c>
      <c r="G104" s="60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</row>
    <row r="105" spans="1:27" ht="26.25" customHeight="1">
      <c r="A105" s="7"/>
      <c r="B105" s="23">
        <v>24</v>
      </c>
      <c r="C105" s="63" t="s">
        <v>26</v>
      </c>
      <c r="D105" s="64" t="s">
        <v>378</v>
      </c>
      <c r="E105" s="35">
        <v>75</v>
      </c>
      <c r="F105" s="13">
        <v>75</v>
      </c>
      <c r="G105" s="60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</row>
    <row r="106" spans="1:27" ht="26.25" customHeight="1">
      <c r="A106" s="7"/>
      <c r="B106" s="23">
        <v>25</v>
      </c>
      <c r="C106" s="63" t="s">
        <v>381</v>
      </c>
      <c r="D106" s="64" t="s">
        <v>383</v>
      </c>
      <c r="E106" s="35">
        <v>100</v>
      </c>
      <c r="F106" s="13">
        <v>100</v>
      </c>
      <c r="G106" s="60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</row>
    <row r="107" spans="1:27" ht="26.25" customHeight="1">
      <c r="A107" s="7"/>
      <c r="B107" s="23">
        <v>26</v>
      </c>
      <c r="C107" s="63" t="s">
        <v>124</v>
      </c>
      <c r="D107" s="64" t="s">
        <v>386</v>
      </c>
      <c r="E107" s="35">
        <v>100</v>
      </c>
      <c r="F107" s="13">
        <v>100</v>
      </c>
      <c r="G107" s="60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</row>
    <row r="108" spans="1:27" ht="26.25" customHeight="1">
      <c r="A108" s="7"/>
      <c r="B108" s="23">
        <v>27</v>
      </c>
      <c r="C108" s="63" t="s">
        <v>389</v>
      </c>
      <c r="D108" s="64" t="s">
        <v>390</v>
      </c>
      <c r="E108" s="35">
        <v>100</v>
      </c>
      <c r="F108" s="13">
        <v>100</v>
      </c>
      <c r="G108" s="60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</row>
    <row r="109" spans="1:27" ht="26.25" customHeight="1">
      <c r="A109" s="7"/>
      <c r="B109" s="23">
        <v>28</v>
      </c>
      <c r="C109" s="63" t="s">
        <v>71</v>
      </c>
      <c r="D109" s="64" t="s">
        <v>394</v>
      </c>
      <c r="E109" s="35">
        <v>180</v>
      </c>
      <c r="F109" s="13">
        <v>180</v>
      </c>
      <c r="G109" s="60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</row>
    <row r="110" spans="1:27" ht="26.25" customHeight="1">
      <c r="A110" s="7"/>
      <c r="B110" s="23">
        <v>29</v>
      </c>
      <c r="C110" s="63" t="s">
        <v>16</v>
      </c>
      <c r="D110" s="64" t="s">
        <v>397</v>
      </c>
      <c r="E110" s="35">
        <v>120</v>
      </c>
      <c r="F110" s="13">
        <v>120</v>
      </c>
      <c r="G110" s="60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</row>
    <row r="111" spans="1:27" ht="26.25" customHeight="1">
      <c r="A111" s="7"/>
      <c r="B111" s="58"/>
      <c r="C111" s="58"/>
      <c r="D111" s="96"/>
      <c r="E111" s="97"/>
      <c r="F111" s="60"/>
      <c r="G111" s="60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</row>
    <row r="112" spans="1:27" ht="26.25" customHeight="1">
      <c r="A112" s="98"/>
      <c r="B112" s="58"/>
      <c r="C112" s="58"/>
      <c r="D112" s="96"/>
      <c r="E112" s="97"/>
      <c r="F112" s="60"/>
      <c r="G112" s="60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</row>
    <row r="113" spans="1:27" ht="26.25" customHeight="1">
      <c r="A113" s="99"/>
      <c r="B113" s="58"/>
      <c r="C113" s="58"/>
      <c r="D113" s="58"/>
      <c r="E113" s="60"/>
      <c r="F113" s="60"/>
      <c r="G113" s="60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 spans="1:27" ht="26.25" customHeight="1">
      <c r="A114" s="100"/>
      <c r="B114" s="85"/>
      <c r="C114" s="85"/>
      <c r="D114" s="85"/>
      <c r="E114" s="86">
        <f t="shared" ref="E114:F114" si="2">SUM(E81:E113)</f>
        <v>2762</v>
      </c>
      <c r="F114" s="86">
        <f t="shared" si="2"/>
        <v>2762</v>
      </c>
      <c r="G114" s="86">
        <f>E114-F114</f>
        <v>0</v>
      </c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 spans="1:27" ht="26.25" customHeight="1">
      <c r="A115" s="90"/>
      <c r="B115" s="90"/>
      <c r="C115" s="90"/>
      <c r="D115" s="90"/>
      <c r="E115" s="102"/>
      <c r="F115" s="102"/>
      <c r="G115" s="102"/>
    </row>
    <row r="116" spans="1:27" ht="26.25" customHeight="1">
      <c r="A116" s="103"/>
      <c r="B116" s="191" t="s">
        <v>415</v>
      </c>
      <c r="C116" s="192"/>
      <c r="D116" s="192"/>
      <c r="E116" s="192"/>
      <c r="F116" s="192"/>
      <c r="G116" s="193"/>
    </row>
    <row r="117" spans="1:27" ht="26.25" customHeight="1">
      <c r="A117" s="103"/>
      <c r="B117" s="194" t="s">
        <v>1</v>
      </c>
      <c r="C117" s="196" t="s">
        <v>2</v>
      </c>
      <c r="D117" s="198" t="s">
        <v>4</v>
      </c>
      <c r="E117" s="200" t="s">
        <v>5</v>
      </c>
      <c r="F117" s="202" t="s">
        <v>6</v>
      </c>
      <c r="G117" s="203" t="s">
        <v>7</v>
      </c>
    </row>
    <row r="118" spans="1:27" ht="26.25" customHeight="1">
      <c r="A118" s="103"/>
      <c r="B118" s="195"/>
      <c r="C118" s="197"/>
      <c r="D118" s="199"/>
      <c r="E118" s="201"/>
      <c r="F118" s="195"/>
      <c r="G118" s="197"/>
    </row>
    <row r="119" spans="1:27" ht="26.25" customHeight="1">
      <c r="A119" s="103"/>
      <c r="B119" s="58"/>
      <c r="C119" s="104" t="s">
        <v>420</v>
      </c>
      <c r="D119" s="58"/>
      <c r="E119" s="60"/>
      <c r="F119" s="60"/>
      <c r="G119" s="60"/>
    </row>
    <row r="120" spans="1:27" ht="26.25" customHeight="1">
      <c r="A120" s="103"/>
      <c r="B120" s="23">
        <v>1</v>
      </c>
      <c r="C120" s="19" t="s">
        <v>422</v>
      </c>
      <c r="D120" s="31" t="s">
        <v>423</v>
      </c>
      <c r="E120" s="35">
        <v>100</v>
      </c>
      <c r="F120" s="13">
        <v>100</v>
      </c>
      <c r="G120" s="60"/>
    </row>
    <row r="121" spans="1:27" ht="26.25" customHeight="1">
      <c r="A121" s="103"/>
      <c r="B121" s="23">
        <v>2</v>
      </c>
      <c r="C121" s="19" t="s">
        <v>427</v>
      </c>
      <c r="D121" s="31" t="s">
        <v>428</v>
      </c>
      <c r="E121" s="35">
        <v>25</v>
      </c>
      <c r="F121" s="13">
        <v>25</v>
      </c>
      <c r="G121" s="60"/>
    </row>
    <row r="122" spans="1:27" ht="26.25" customHeight="1">
      <c r="A122" s="103"/>
      <c r="B122" s="23">
        <v>3</v>
      </c>
      <c r="C122" s="19" t="s">
        <v>430</v>
      </c>
      <c r="D122" s="31" t="s">
        <v>431</v>
      </c>
      <c r="E122" s="35">
        <v>50</v>
      </c>
      <c r="F122" s="13">
        <v>50</v>
      </c>
      <c r="G122" s="60"/>
    </row>
    <row r="123" spans="1:27" ht="26.25" customHeight="1">
      <c r="A123" s="103"/>
      <c r="B123" s="23">
        <v>4</v>
      </c>
      <c r="C123" s="19" t="s">
        <v>8</v>
      </c>
      <c r="D123" s="31" t="s">
        <v>434</v>
      </c>
      <c r="E123" s="35">
        <v>50</v>
      </c>
      <c r="F123" s="13">
        <v>50</v>
      </c>
      <c r="G123" s="60"/>
    </row>
    <row r="124" spans="1:27" ht="26.25" customHeight="1">
      <c r="A124" s="103"/>
      <c r="B124" s="23">
        <v>5</v>
      </c>
      <c r="C124" s="73" t="s">
        <v>435</v>
      </c>
      <c r="D124" s="31" t="s">
        <v>436</v>
      </c>
      <c r="E124" s="32">
        <v>100</v>
      </c>
      <c r="F124" s="13">
        <v>100</v>
      </c>
      <c r="G124" s="60"/>
    </row>
    <row r="125" spans="1:27" ht="26.25" customHeight="1">
      <c r="A125" s="103"/>
      <c r="B125" s="23">
        <v>6</v>
      </c>
      <c r="C125" s="63" t="s">
        <v>268</v>
      </c>
      <c r="D125" s="31" t="s">
        <v>438</v>
      </c>
      <c r="E125" s="35">
        <v>30</v>
      </c>
      <c r="F125" s="22">
        <v>30</v>
      </c>
      <c r="G125" s="60"/>
    </row>
    <row r="126" spans="1:27" ht="26.25" customHeight="1">
      <c r="A126" s="103"/>
      <c r="B126" s="23">
        <v>7</v>
      </c>
      <c r="C126" s="19" t="s">
        <v>411</v>
      </c>
      <c r="D126" s="31" t="s">
        <v>441</v>
      </c>
      <c r="E126" s="35">
        <v>75</v>
      </c>
      <c r="F126" s="22">
        <v>75</v>
      </c>
      <c r="G126" s="60"/>
    </row>
    <row r="127" spans="1:27" ht="26.25" customHeight="1">
      <c r="A127" s="103"/>
      <c r="B127" s="23">
        <v>8</v>
      </c>
      <c r="C127" s="63" t="s">
        <v>350</v>
      </c>
      <c r="D127" s="31" t="s">
        <v>442</v>
      </c>
      <c r="E127" s="35">
        <v>20</v>
      </c>
      <c r="F127" s="22">
        <v>20</v>
      </c>
      <c r="G127" s="60"/>
    </row>
    <row r="128" spans="1:27" ht="26.25" customHeight="1">
      <c r="A128" s="103"/>
      <c r="B128" s="23">
        <v>9</v>
      </c>
      <c r="C128" s="63" t="s">
        <v>193</v>
      </c>
      <c r="D128" s="31" t="s">
        <v>446</v>
      </c>
      <c r="E128" s="35">
        <v>125</v>
      </c>
      <c r="F128" s="22">
        <v>125</v>
      </c>
      <c r="G128" s="60"/>
    </row>
    <row r="129" spans="1:7" ht="26.25" customHeight="1">
      <c r="A129" s="103"/>
      <c r="B129" s="23">
        <v>10</v>
      </c>
      <c r="C129" s="63" t="s">
        <v>447</v>
      </c>
      <c r="D129" s="31" t="s">
        <v>448</v>
      </c>
      <c r="E129" s="35">
        <v>75</v>
      </c>
      <c r="F129" s="22">
        <v>75</v>
      </c>
      <c r="G129" s="60"/>
    </row>
    <row r="130" spans="1:7" ht="26.25" customHeight="1">
      <c r="A130" s="103"/>
      <c r="B130" s="23">
        <v>11</v>
      </c>
      <c r="C130" s="63" t="s">
        <v>124</v>
      </c>
      <c r="D130" s="31" t="s">
        <v>451</v>
      </c>
      <c r="E130" s="35">
        <v>100</v>
      </c>
      <c r="F130" s="22">
        <v>100</v>
      </c>
      <c r="G130" s="60"/>
    </row>
    <row r="131" spans="1:7" ht="26.25" customHeight="1">
      <c r="A131" s="103"/>
      <c r="B131" s="23">
        <v>12</v>
      </c>
      <c r="C131" s="63" t="s">
        <v>396</v>
      </c>
      <c r="D131" s="31" t="s">
        <v>452</v>
      </c>
      <c r="E131" s="35">
        <v>50</v>
      </c>
      <c r="F131" s="22">
        <v>50</v>
      </c>
      <c r="G131" s="60"/>
    </row>
    <row r="132" spans="1:7" ht="26.25" customHeight="1">
      <c r="A132" s="103"/>
      <c r="B132" s="23">
        <v>13</v>
      </c>
      <c r="C132" s="63" t="s">
        <v>455</v>
      </c>
      <c r="D132" s="31" t="s">
        <v>456</v>
      </c>
      <c r="E132" s="35">
        <v>40</v>
      </c>
      <c r="F132" s="22">
        <v>40</v>
      </c>
      <c r="G132" s="60"/>
    </row>
    <row r="133" spans="1:7" ht="26.25" customHeight="1">
      <c r="A133" s="103"/>
      <c r="B133" s="23">
        <v>14</v>
      </c>
      <c r="C133" s="63" t="s">
        <v>244</v>
      </c>
      <c r="D133" s="31" t="s">
        <v>457</v>
      </c>
      <c r="E133" s="35">
        <v>180</v>
      </c>
      <c r="F133" s="22">
        <v>180</v>
      </c>
      <c r="G133" s="32"/>
    </row>
    <row r="134" spans="1:7" ht="26.25" customHeight="1">
      <c r="A134" s="103"/>
      <c r="B134" s="23">
        <v>15</v>
      </c>
      <c r="C134" s="63" t="s">
        <v>17</v>
      </c>
      <c r="D134" s="31" t="s">
        <v>460</v>
      </c>
      <c r="E134" s="35">
        <v>170</v>
      </c>
      <c r="F134" s="22">
        <v>170</v>
      </c>
      <c r="G134" s="60"/>
    </row>
    <row r="135" spans="1:7" ht="26.25" customHeight="1">
      <c r="A135" s="103"/>
      <c r="B135" s="23">
        <v>16</v>
      </c>
      <c r="C135" s="63" t="s">
        <v>237</v>
      </c>
      <c r="D135" s="31" t="s">
        <v>463</v>
      </c>
      <c r="E135" s="35">
        <v>100</v>
      </c>
      <c r="F135" s="22">
        <v>100</v>
      </c>
      <c r="G135" s="60"/>
    </row>
    <row r="136" spans="1:7" ht="26.25" customHeight="1">
      <c r="A136" s="103"/>
      <c r="B136" s="23">
        <v>17</v>
      </c>
      <c r="C136" s="63" t="s">
        <v>233</v>
      </c>
      <c r="D136" s="31" t="s">
        <v>466</v>
      </c>
      <c r="E136" s="35">
        <v>75</v>
      </c>
      <c r="F136" s="22">
        <v>75</v>
      </c>
      <c r="G136" s="60"/>
    </row>
    <row r="137" spans="1:7" ht="26.25" customHeight="1">
      <c r="A137" s="103"/>
      <c r="B137" s="23">
        <v>18</v>
      </c>
      <c r="C137" s="63" t="s">
        <v>228</v>
      </c>
      <c r="D137" s="31" t="s">
        <v>470</v>
      </c>
      <c r="E137" s="35">
        <v>75</v>
      </c>
      <c r="F137" s="22">
        <v>75</v>
      </c>
      <c r="G137" s="60"/>
    </row>
    <row r="138" spans="1:7" ht="26.25" customHeight="1">
      <c r="A138" s="103"/>
      <c r="B138" s="23">
        <v>19</v>
      </c>
      <c r="C138" s="63" t="s">
        <v>225</v>
      </c>
      <c r="D138" s="31" t="s">
        <v>473</v>
      </c>
      <c r="E138" s="35">
        <v>100</v>
      </c>
      <c r="F138" s="22">
        <v>100</v>
      </c>
      <c r="G138" s="60"/>
    </row>
    <row r="139" spans="1:7" ht="26.25" customHeight="1">
      <c r="A139" s="103"/>
      <c r="B139" s="23">
        <v>20</v>
      </c>
      <c r="C139" s="63" t="s">
        <v>281</v>
      </c>
      <c r="D139" s="31" t="s">
        <v>474</v>
      </c>
      <c r="E139" s="35">
        <v>200</v>
      </c>
      <c r="F139" s="22">
        <v>200</v>
      </c>
      <c r="G139" s="60"/>
    </row>
    <row r="140" spans="1:7" ht="26.25" customHeight="1">
      <c r="A140" s="103"/>
      <c r="B140" s="23">
        <v>21</v>
      </c>
      <c r="C140" s="63" t="s">
        <v>110</v>
      </c>
      <c r="D140" s="31" t="s">
        <v>476</v>
      </c>
      <c r="E140" s="35">
        <v>160</v>
      </c>
      <c r="F140" s="22">
        <v>160</v>
      </c>
      <c r="G140" s="60"/>
    </row>
    <row r="141" spans="1:7" ht="26.25" customHeight="1">
      <c r="A141" s="103"/>
      <c r="B141" s="23">
        <v>22</v>
      </c>
      <c r="C141" s="63" t="s">
        <v>86</v>
      </c>
      <c r="D141" s="31" t="s">
        <v>477</v>
      </c>
      <c r="E141" s="35">
        <v>60</v>
      </c>
      <c r="F141" s="22">
        <v>60</v>
      </c>
      <c r="G141" s="60"/>
    </row>
    <row r="142" spans="1:7" ht="26.25" customHeight="1">
      <c r="A142" s="103"/>
      <c r="B142" s="23">
        <v>23</v>
      </c>
      <c r="C142" s="63" t="s">
        <v>215</v>
      </c>
      <c r="D142" s="31" t="s">
        <v>478</v>
      </c>
      <c r="E142" s="35">
        <v>100</v>
      </c>
      <c r="F142" s="22">
        <v>100</v>
      </c>
      <c r="G142" s="60"/>
    </row>
    <row r="143" spans="1:7" ht="26.25" customHeight="1">
      <c r="A143" s="103"/>
      <c r="B143" s="23">
        <v>24</v>
      </c>
      <c r="C143" s="63" t="s">
        <v>71</v>
      </c>
      <c r="D143" s="31" t="s">
        <v>479</v>
      </c>
      <c r="E143" s="35">
        <v>126</v>
      </c>
      <c r="F143" s="13">
        <v>126</v>
      </c>
      <c r="G143" s="60"/>
    </row>
    <row r="144" spans="1:7" ht="26.25" customHeight="1">
      <c r="A144" s="103"/>
      <c r="B144" s="23">
        <v>25</v>
      </c>
      <c r="C144" s="63" t="s">
        <v>82</v>
      </c>
      <c r="D144" s="31" t="s">
        <v>480</v>
      </c>
      <c r="E144" s="35">
        <v>126</v>
      </c>
      <c r="F144" s="13">
        <v>126</v>
      </c>
      <c r="G144" s="60"/>
    </row>
    <row r="145" spans="1:7" ht="26.25" customHeight="1">
      <c r="A145" s="103"/>
      <c r="B145" s="23">
        <v>26</v>
      </c>
      <c r="C145" s="63" t="s">
        <v>482</v>
      </c>
      <c r="D145" s="31" t="s">
        <v>483</v>
      </c>
      <c r="E145" s="35"/>
      <c r="F145" s="60"/>
      <c r="G145" s="35">
        <v>105</v>
      </c>
    </row>
    <row r="146" spans="1:7" ht="26.25" customHeight="1">
      <c r="A146" s="103"/>
      <c r="B146" s="23">
        <v>27</v>
      </c>
      <c r="C146" s="63" t="s">
        <v>8</v>
      </c>
      <c r="D146" s="31" t="s">
        <v>484</v>
      </c>
      <c r="E146" s="35">
        <v>75</v>
      </c>
      <c r="F146" s="13">
        <v>75</v>
      </c>
      <c r="G146" s="60"/>
    </row>
    <row r="147" spans="1:7" ht="26.25" customHeight="1">
      <c r="A147" s="103"/>
      <c r="B147" s="23">
        <v>28</v>
      </c>
      <c r="C147" s="63" t="s">
        <v>487</v>
      </c>
      <c r="D147" s="31" t="s">
        <v>488</v>
      </c>
      <c r="E147" s="35">
        <v>25</v>
      </c>
      <c r="F147" s="13">
        <v>25</v>
      </c>
      <c r="G147" s="60"/>
    </row>
    <row r="148" spans="1:7" ht="26.25" customHeight="1">
      <c r="A148" s="103"/>
      <c r="B148" s="23">
        <v>29</v>
      </c>
      <c r="C148" s="63" t="s">
        <v>489</v>
      </c>
      <c r="D148" s="31" t="s">
        <v>490</v>
      </c>
      <c r="E148" s="35">
        <v>100</v>
      </c>
      <c r="F148" s="13">
        <v>100</v>
      </c>
      <c r="G148" s="60"/>
    </row>
    <row r="149" spans="1:7" ht="26.25" customHeight="1">
      <c r="A149" s="103"/>
      <c r="B149" s="23">
        <v>30</v>
      </c>
      <c r="C149" s="63" t="s">
        <v>14</v>
      </c>
      <c r="D149" s="31" t="s">
        <v>491</v>
      </c>
      <c r="E149" s="35">
        <v>100</v>
      </c>
      <c r="F149" s="13">
        <v>100</v>
      </c>
      <c r="G149" s="60"/>
    </row>
    <row r="150" spans="1:7" ht="26.25" customHeight="1">
      <c r="A150" s="103"/>
      <c r="B150" s="23">
        <v>31</v>
      </c>
      <c r="C150" s="63" t="s">
        <v>492</v>
      </c>
      <c r="D150" s="31" t="s">
        <v>493</v>
      </c>
      <c r="E150" s="35">
        <v>100</v>
      </c>
      <c r="F150" s="13">
        <v>100</v>
      </c>
      <c r="G150" s="60"/>
    </row>
    <row r="151" spans="1:7" ht="26.25" customHeight="1">
      <c r="A151" s="103"/>
      <c r="B151" s="23">
        <v>32</v>
      </c>
      <c r="C151" s="63" t="s">
        <v>481</v>
      </c>
      <c r="D151" s="31" t="s">
        <v>495</v>
      </c>
      <c r="E151" s="35">
        <v>75</v>
      </c>
      <c r="F151" s="13">
        <v>75</v>
      </c>
      <c r="G151" s="60"/>
    </row>
    <row r="152" spans="1:7" ht="26.25" customHeight="1">
      <c r="A152" s="103"/>
      <c r="B152" s="23">
        <v>35</v>
      </c>
      <c r="C152" s="63" t="s">
        <v>496</v>
      </c>
      <c r="D152" s="31" t="s">
        <v>497</v>
      </c>
      <c r="E152" s="35">
        <v>80</v>
      </c>
      <c r="F152" s="13">
        <v>80</v>
      </c>
      <c r="G152" s="60"/>
    </row>
    <row r="153" spans="1:7" ht="26.25" customHeight="1">
      <c r="A153" s="103"/>
      <c r="B153" s="23">
        <v>36</v>
      </c>
      <c r="C153" s="63" t="s">
        <v>498</v>
      </c>
      <c r="D153" s="31" t="s">
        <v>499</v>
      </c>
      <c r="E153" s="35">
        <v>100</v>
      </c>
      <c r="F153" s="13">
        <v>100</v>
      </c>
      <c r="G153" s="60"/>
    </row>
    <row r="154" spans="1:7" ht="26.25" customHeight="1">
      <c r="A154" s="103"/>
      <c r="B154" s="23">
        <v>37</v>
      </c>
      <c r="C154" s="63" t="s">
        <v>242</v>
      </c>
      <c r="D154" s="64" t="s">
        <v>500</v>
      </c>
      <c r="E154" s="32">
        <v>50</v>
      </c>
      <c r="F154" s="30">
        <v>50</v>
      </c>
      <c r="G154" s="60"/>
    </row>
    <row r="155" spans="1:7" ht="26.25" customHeight="1">
      <c r="A155" s="103"/>
      <c r="B155" s="58"/>
      <c r="C155" s="58"/>
      <c r="D155" s="58"/>
      <c r="E155" s="60"/>
      <c r="F155" s="83"/>
      <c r="G155" s="60"/>
    </row>
    <row r="156" spans="1:7" ht="26.25" customHeight="1">
      <c r="A156" s="111"/>
      <c r="B156" s="58"/>
      <c r="C156" s="58"/>
      <c r="D156" s="58"/>
      <c r="E156" s="60"/>
      <c r="F156" s="83"/>
      <c r="G156" s="60"/>
    </row>
    <row r="157" spans="1:7" ht="26.25" customHeight="1">
      <c r="A157" s="53"/>
      <c r="B157" s="58"/>
      <c r="C157" s="58"/>
      <c r="D157" s="58"/>
      <c r="E157" s="60"/>
      <c r="F157" s="97"/>
      <c r="G157" s="60"/>
    </row>
    <row r="158" spans="1:7" ht="26.25" customHeight="1">
      <c r="A158" s="55"/>
      <c r="B158" s="58"/>
      <c r="C158" s="58"/>
      <c r="D158" s="58"/>
      <c r="E158" s="60"/>
      <c r="F158" s="97"/>
      <c r="G158" s="60"/>
    </row>
    <row r="159" spans="1:7" ht="26.25" customHeight="1">
      <c r="A159" s="90"/>
      <c r="B159" s="58"/>
      <c r="C159" s="58"/>
      <c r="D159" s="58"/>
      <c r="E159" s="60"/>
      <c r="F159" s="60"/>
      <c r="G159" s="60"/>
    </row>
    <row r="160" spans="1:7" ht="26.25" customHeight="1">
      <c r="A160" s="90"/>
      <c r="B160" s="85"/>
      <c r="C160" s="85"/>
      <c r="D160" s="85"/>
      <c r="E160" s="86">
        <f t="shared" ref="E160:F160" si="3">SUM(E119:E159)</f>
        <v>3017</v>
      </c>
      <c r="F160" s="86">
        <f t="shared" si="3"/>
        <v>3017</v>
      </c>
      <c r="G160" s="86">
        <f>E160-F160</f>
        <v>0</v>
      </c>
    </row>
    <row r="161" spans="1:7" ht="26.25" customHeight="1">
      <c r="A161" s="103"/>
      <c r="B161" s="103"/>
      <c r="C161" s="112"/>
      <c r="D161" s="103"/>
      <c r="E161" s="113"/>
      <c r="F161" s="113"/>
      <c r="G161" s="113"/>
    </row>
    <row r="162" spans="1:7" ht="26.25" customHeight="1">
      <c r="A162" s="103"/>
      <c r="B162" s="191" t="s">
        <v>510</v>
      </c>
      <c r="C162" s="192"/>
      <c r="D162" s="192"/>
      <c r="E162" s="192"/>
      <c r="F162" s="192"/>
      <c r="G162" s="193"/>
    </row>
    <row r="163" spans="1:7" ht="26.25" customHeight="1">
      <c r="A163" s="103"/>
      <c r="B163" s="194" t="s">
        <v>1</v>
      </c>
      <c r="C163" s="196" t="s">
        <v>2</v>
      </c>
      <c r="D163" s="198" t="s">
        <v>4</v>
      </c>
      <c r="E163" s="200" t="s">
        <v>5</v>
      </c>
      <c r="F163" s="202" t="s">
        <v>6</v>
      </c>
      <c r="G163" s="203" t="s">
        <v>7</v>
      </c>
    </row>
    <row r="164" spans="1:7" ht="26.25" customHeight="1">
      <c r="A164" s="103"/>
      <c r="B164" s="195"/>
      <c r="C164" s="197"/>
      <c r="D164" s="199"/>
      <c r="E164" s="201"/>
      <c r="F164" s="195"/>
      <c r="G164" s="197"/>
    </row>
    <row r="165" spans="1:7" ht="26.25" customHeight="1">
      <c r="A165" s="103"/>
      <c r="B165" s="58"/>
      <c r="C165" s="118" t="s">
        <v>501</v>
      </c>
      <c r="D165" s="58"/>
      <c r="E165" s="60"/>
      <c r="F165" s="60"/>
      <c r="G165" s="60"/>
    </row>
    <row r="166" spans="1:7" ht="26.25" customHeight="1">
      <c r="A166" s="103"/>
      <c r="B166" s="23">
        <v>1</v>
      </c>
      <c r="C166" s="19" t="s">
        <v>519</v>
      </c>
      <c r="D166" s="31" t="s">
        <v>521</v>
      </c>
      <c r="E166" s="35">
        <v>100</v>
      </c>
      <c r="F166" s="119">
        <v>100</v>
      </c>
      <c r="G166" s="60"/>
    </row>
    <row r="167" spans="1:7" ht="26.25" customHeight="1">
      <c r="A167" s="103"/>
      <c r="B167" s="23">
        <v>2</v>
      </c>
      <c r="C167" s="19" t="s">
        <v>525</v>
      </c>
      <c r="D167" s="31" t="s">
        <v>526</v>
      </c>
      <c r="E167" s="35">
        <v>50</v>
      </c>
      <c r="F167" s="119">
        <v>50</v>
      </c>
      <c r="G167" s="60"/>
    </row>
    <row r="168" spans="1:7" ht="26.25" customHeight="1">
      <c r="A168" s="103"/>
      <c r="B168" s="23">
        <v>3</v>
      </c>
      <c r="C168" s="19" t="s">
        <v>528</v>
      </c>
      <c r="D168" s="31" t="s">
        <v>529</v>
      </c>
      <c r="E168" s="35">
        <v>50</v>
      </c>
      <c r="F168" s="119">
        <v>50</v>
      </c>
      <c r="G168" s="60"/>
    </row>
    <row r="169" spans="1:7" ht="26.25" customHeight="1">
      <c r="A169" s="103"/>
      <c r="B169" s="23">
        <v>4</v>
      </c>
      <c r="C169" s="73" t="s">
        <v>70</v>
      </c>
      <c r="D169" s="31" t="s">
        <v>530</v>
      </c>
      <c r="E169" s="32">
        <v>60</v>
      </c>
      <c r="F169" s="119">
        <v>60</v>
      </c>
      <c r="G169" s="60"/>
    </row>
    <row r="170" spans="1:7" ht="26.25" customHeight="1">
      <c r="A170" s="103"/>
      <c r="B170" s="23">
        <v>5</v>
      </c>
      <c r="C170" s="63" t="s">
        <v>20</v>
      </c>
      <c r="D170" s="31" t="s">
        <v>532</v>
      </c>
      <c r="E170" s="35">
        <v>120</v>
      </c>
      <c r="F170" s="119">
        <v>120</v>
      </c>
      <c r="G170" s="60"/>
    </row>
    <row r="171" spans="1:7" ht="26.25" customHeight="1">
      <c r="A171" s="103"/>
      <c r="B171" s="23">
        <v>6</v>
      </c>
      <c r="C171" s="19" t="s">
        <v>533</v>
      </c>
      <c r="D171" s="31" t="s">
        <v>534</v>
      </c>
      <c r="E171" s="35">
        <v>100</v>
      </c>
      <c r="F171" s="119">
        <v>100</v>
      </c>
      <c r="G171" s="60"/>
    </row>
    <row r="172" spans="1:7" ht="26.25" customHeight="1">
      <c r="A172" s="103"/>
      <c r="B172" s="23">
        <v>7</v>
      </c>
      <c r="C172" s="19" t="s">
        <v>144</v>
      </c>
      <c r="D172" s="31" t="s">
        <v>536</v>
      </c>
      <c r="E172" s="35">
        <v>75</v>
      </c>
      <c r="F172" s="119">
        <v>75</v>
      </c>
      <c r="G172" s="60"/>
    </row>
    <row r="173" spans="1:7" ht="26.25" customHeight="1">
      <c r="A173" s="103"/>
      <c r="B173" s="23">
        <v>8</v>
      </c>
      <c r="C173" s="19" t="s">
        <v>90</v>
      </c>
      <c r="D173" s="31" t="s">
        <v>537</v>
      </c>
      <c r="E173" s="35">
        <v>120</v>
      </c>
      <c r="F173" s="119">
        <v>120</v>
      </c>
      <c r="G173" s="60"/>
    </row>
    <row r="174" spans="1:7" ht="26.25" customHeight="1">
      <c r="A174" s="103"/>
      <c r="B174" s="23">
        <v>9</v>
      </c>
      <c r="C174" s="63" t="s">
        <v>71</v>
      </c>
      <c r="D174" s="31" t="s">
        <v>538</v>
      </c>
      <c r="E174" s="35">
        <v>126</v>
      </c>
      <c r="F174" s="119">
        <v>126</v>
      </c>
      <c r="G174" s="60"/>
    </row>
    <row r="175" spans="1:7" ht="26.25" customHeight="1">
      <c r="A175" s="103"/>
      <c r="B175" s="23">
        <v>10</v>
      </c>
      <c r="C175" s="63" t="s">
        <v>86</v>
      </c>
      <c r="D175" s="31" t="s">
        <v>539</v>
      </c>
      <c r="E175" s="35">
        <v>60</v>
      </c>
      <c r="F175" s="119">
        <v>60</v>
      </c>
      <c r="G175" s="60"/>
    </row>
    <row r="176" spans="1:7" ht="26.25" customHeight="1">
      <c r="A176" s="103"/>
      <c r="B176" s="23">
        <v>11</v>
      </c>
      <c r="C176" s="63" t="s">
        <v>82</v>
      </c>
      <c r="D176" s="31" t="s">
        <v>540</v>
      </c>
      <c r="E176" s="35">
        <v>126</v>
      </c>
      <c r="F176" s="119">
        <v>126</v>
      </c>
      <c r="G176" s="60"/>
    </row>
    <row r="177" spans="1:7" ht="26.25" customHeight="1">
      <c r="A177" s="103"/>
      <c r="B177" s="23">
        <v>12</v>
      </c>
      <c r="C177" s="63" t="s">
        <v>309</v>
      </c>
      <c r="D177" s="31" t="s">
        <v>542</v>
      </c>
      <c r="E177" s="35">
        <v>135</v>
      </c>
      <c r="F177" s="119">
        <v>135</v>
      </c>
      <c r="G177" s="60"/>
    </row>
    <row r="178" spans="1:7" ht="26.25" customHeight="1">
      <c r="A178" s="103"/>
      <c r="B178" s="23">
        <v>13</v>
      </c>
      <c r="C178" s="63" t="s">
        <v>543</v>
      </c>
      <c r="D178" s="31" t="s">
        <v>544</v>
      </c>
      <c r="E178" s="35">
        <v>160</v>
      </c>
      <c r="F178" s="119">
        <v>160</v>
      </c>
      <c r="G178" s="60"/>
    </row>
    <row r="179" spans="1:7" ht="26.25" customHeight="1">
      <c r="A179" s="103"/>
      <c r="B179" s="23">
        <v>14</v>
      </c>
      <c r="C179" s="63" t="s">
        <v>205</v>
      </c>
      <c r="D179" s="31" t="s">
        <v>545</v>
      </c>
      <c r="E179" s="35">
        <f>75+150</f>
        <v>225</v>
      </c>
      <c r="F179" s="119">
        <v>225</v>
      </c>
      <c r="G179" s="60"/>
    </row>
    <row r="180" spans="1:7" ht="26.25" customHeight="1">
      <c r="A180" s="103"/>
      <c r="B180" s="23">
        <v>15</v>
      </c>
      <c r="C180" s="63" t="s">
        <v>17</v>
      </c>
      <c r="D180" s="31" t="s">
        <v>548</v>
      </c>
      <c r="E180" s="35">
        <v>85</v>
      </c>
      <c r="F180" s="119">
        <v>85</v>
      </c>
      <c r="G180" s="60"/>
    </row>
    <row r="181" spans="1:7" ht="26.25" customHeight="1">
      <c r="A181" s="103"/>
      <c r="B181" s="23">
        <v>16</v>
      </c>
      <c r="C181" s="63" t="s">
        <v>26</v>
      </c>
      <c r="D181" s="31" t="s">
        <v>549</v>
      </c>
      <c r="E181" s="35">
        <v>50</v>
      </c>
      <c r="F181" s="119">
        <v>50</v>
      </c>
      <c r="G181" s="60"/>
    </row>
    <row r="182" spans="1:7" ht="26.25" customHeight="1">
      <c r="A182" s="103"/>
      <c r="B182" s="23">
        <v>17</v>
      </c>
      <c r="C182" s="63" t="s">
        <v>16</v>
      </c>
      <c r="D182" s="31" t="s">
        <v>551</v>
      </c>
      <c r="E182" s="35">
        <v>120</v>
      </c>
      <c r="F182" s="119">
        <v>120</v>
      </c>
      <c r="G182" s="60"/>
    </row>
    <row r="183" spans="1:7" ht="26.25" customHeight="1">
      <c r="A183" s="103"/>
      <c r="B183" s="23">
        <v>18</v>
      </c>
      <c r="C183" s="63" t="s">
        <v>552</v>
      </c>
      <c r="D183" s="31" t="s">
        <v>553</v>
      </c>
      <c r="E183" s="35">
        <v>100</v>
      </c>
      <c r="F183" s="119">
        <v>100</v>
      </c>
      <c r="G183" s="60"/>
    </row>
    <row r="184" spans="1:7" ht="26.25" customHeight="1">
      <c r="A184" s="103"/>
      <c r="B184" s="23">
        <v>19</v>
      </c>
      <c r="C184" s="63" t="s">
        <v>554</v>
      </c>
      <c r="D184" s="31" t="s">
        <v>555</v>
      </c>
      <c r="E184" s="35">
        <v>100</v>
      </c>
      <c r="F184" s="119">
        <v>100</v>
      </c>
      <c r="G184" s="60"/>
    </row>
    <row r="185" spans="1:7" ht="26.25" customHeight="1">
      <c r="A185" s="103"/>
      <c r="B185" s="23">
        <v>20</v>
      </c>
      <c r="C185" s="63" t="s">
        <v>124</v>
      </c>
      <c r="D185" s="31" t="s">
        <v>557</v>
      </c>
      <c r="E185" s="35">
        <v>50</v>
      </c>
      <c r="F185" s="119">
        <v>50</v>
      </c>
      <c r="G185" s="60"/>
    </row>
    <row r="186" spans="1:7" ht="26.25" customHeight="1">
      <c r="A186" s="103"/>
      <c r="B186" s="23">
        <v>21</v>
      </c>
      <c r="C186" s="63" t="s">
        <v>71</v>
      </c>
      <c r="D186" s="31" t="s">
        <v>558</v>
      </c>
      <c r="E186" s="35">
        <v>120</v>
      </c>
      <c r="F186" s="119">
        <v>120</v>
      </c>
      <c r="G186" s="60"/>
    </row>
    <row r="187" spans="1:7" ht="26.25" customHeight="1">
      <c r="A187" s="103"/>
      <c r="B187" s="23">
        <v>22</v>
      </c>
      <c r="C187" s="63" t="s">
        <v>559</v>
      </c>
      <c r="D187" s="31" t="s">
        <v>560</v>
      </c>
      <c r="E187" s="35">
        <v>100</v>
      </c>
      <c r="F187" s="119">
        <v>100</v>
      </c>
      <c r="G187" s="60"/>
    </row>
    <row r="188" spans="1:7" ht="26.25" customHeight="1">
      <c r="A188" s="103"/>
      <c r="B188" s="23">
        <v>23</v>
      </c>
      <c r="C188" s="63" t="s">
        <v>562</v>
      </c>
      <c r="D188" s="31" t="s">
        <v>563</v>
      </c>
      <c r="E188" s="35">
        <v>100</v>
      </c>
      <c r="F188" s="119">
        <v>100</v>
      </c>
      <c r="G188" s="60"/>
    </row>
    <row r="189" spans="1:7" ht="26.25" customHeight="1">
      <c r="A189" s="103"/>
      <c r="B189" s="23">
        <v>24</v>
      </c>
      <c r="C189" s="63" t="s">
        <v>285</v>
      </c>
      <c r="D189" s="31" t="s">
        <v>564</v>
      </c>
      <c r="E189" s="35">
        <v>100</v>
      </c>
      <c r="F189" s="119">
        <v>100</v>
      </c>
      <c r="G189" s="60"/>
    </row>
    <row r="190" spans="1:7" ht="26.25" customHeight="1">
      <c r="A190" s="103"/>
      <c r="B190" s="23">
        <v>25</v>
      </c>
      <c r="C190" s="63" t="s">
        <v>242</v>
      </c>
      <c r="D190" s="31" t="s">
        <v>565</v>
      </c>
      <c r="E190" s="35">
        <v>100</v>
      </c>
      <c r="F190" s="119">
        <v>100</v>
      </c>
      <c r="G190" s="60"/>
    </row>
    <row r="191" spans="1:7" ht="26.25" customHeight="1">
      <c r="A191" s="103"/>
      <c r="B191" s="23">
        <v>26</v>
      </c>
      <c r="C191" s="63" t="s">
        <v>568</v>
      </c>
      <c r="D191" s="31" t="s">
        <v>570</v>
      </c>
      <c r="E191" s="35">
        <v>100</v>
      </c>
      <c r="F191" s="119">
        <v>100</v>
      </c>
      <c r="G191" s="60"/>
    </row>
    <row r="192" spans="1:7" ht="26.25" customHeight="1">
      <c r="A192" s="111"/>
      <c r="B192" s="23">
        <v>27</v>
      </c>
      <c r="C192" s="63" t="s">
        <v>571</v>
      </c>
      <c r="D192" s="31" t="s">
        <v>572</v>
      </c>
      <c r="E192" s="35">
        <v>100</v>
      </c>
      <c r="F192" s="119">
        <v>100</v>
      </c>
      <c r="G192" s="60"/>
    </row>
    <row r="193" spans="1:7" ht="26.25" customHeight="1">
      <c r="A193" s="53"/>
      <c r="B193" s="23">
        <v>28</v>
      </c>
      <c r="C193" s="63" t="s">
        <v>222</v>
      </c>
      <c r="D193" s="31" t="s">
        <v>573</v>
      </c>
      <c r="E193" s="35">
        <v>100</v>
      </c>
      <c r="F193" s="119">
        <v>100</v>
      </c>
      <c r="G193" s="60"/>
    </row>
    <row r="194" spans="1:7" ht="26.25" customHeight="1">
      <c r="A194" s="55"/>
      <c r="B194" s="23">
        <v>29</v>
      </c>
      <c r="C194" s="63" t="s">
        <v>70</v>
      </c>
      <c r="D194" s="31" t="s">
        <v>574</v>
      </c>
      <c r="E194" s="35">
        <v>60</v>
      </c>
      <c r="F194" s="119">
        <v>60</v>
      </c>
      <c r="G194" s="60"/>
    </row>
    <row r="195" spans="1:7" ht="26.25" customHeight="1">
      <c r="A195" s="53"/>
      <c r="B195" s="58"/>
      <c r="C195" s="58"/>
      <c r="D195" s="58"/>
      <c r="E195" s="60"/>
      <c r="F195" s="60"/>
      <c r="G195" s="60"/>
    </row>
    <row r="196" spans="1:7" ht="26.25" customHeight="1">
      <c r="A196" s="55"/>
      <c r="B196" s="85"/>
      <c r="C196" s="85"/>
      <c r="D196" s="85"/>
      <c r="E196" s="86">
        <f t="shared" ref="E196:F196" si="4">SUM(E165:E195)</f>
        <v>2892</v>
      </c>
      <c r="F196" s="86">
        <f t="shared" si="4"/>
        <v>2892</v>
      </c>
      <c r="G196" s="86">
        <f>E196-F196</f>
        <v>0</v>
      </c>
    </row>
    <row r="197" spans="1:7" ht="26.25" customHeight="1">
      <c r="A197" s="90"/>
      <c r="B197" s="90"/>
      <c r="C197" s="90"/>
      <c r="D197" s="90"/>
      <c r="E197" s="90"/>
      <c r="F197" s="90"/>
      <c r="G197" s="90"/>
    </row>
    <row r="198" spans="1:7" ht="26.25" customHeight="1">
      <c r="A198" s="90"/>
      <c r="B198" s="191" t="s">
        <v>579</v>
      </c>
      <c r="C198" s="192"/>
      <c r="D198" s="192"/>
      <c r="E198" s="192"/>
      <c r="F198" s="192"/>
      <c r="G198" s="193"/>
    </row>
    <row r="199" spans="1:7" ht="26.25" customHeight="1">
      <c r="A199" s="90"/>
      <c r="B199" s="194" t="s">
        <v>1</v>
      </c>
      <c r="C199" s="196" t="s">
        <v>2</v>
      </c>
      <c r="D199" s="198" t="s">
        <v>4</v>
      </c>
      <c r="E199" s="200" t="s">
        <v>5</v>
      </c>
      <c r="F199" s="202" t="s">
        <v>6</v>
      </c>
      <c r="G199" s="203" t="s">
        <v>7</v>
      </c>
    </row>
    <row r="200" spans="1:7" ht="26.25" customHeight="1">
      <c r="A200" s="103"/>
      <c r="B200" s="195"/>
      <c r="C200" s="197"/>
      <c r="D200" s="199"/>
      <c r="E200" s="201"/>
      <c r="F200" s="195"/>
      <c r="G200" s="197"/>
    </row>
    <row r="201" spans="1:7" ht="26.25" customHeight="1">
      <c r="A201" s="103"/>
      <c r="B201" s="58"/>
      <c r="C201" s="118" t="s">
        <v>585</v>
      </c>
      <c r="D201" s="58"/>
      <c r="E201" s="122"/>
      <c r="F201" s="122"/>
      <c r="G201" s="60"/>
    </row>
    <row r="202" spans="1:7" ht="26.25" customHeight="1">
      <c r="A202" s="103"/>
      <c r="B202" s="23">
        <v>1</v>
      </c>
      <c r="C202" s="19" t="s">
        <v>587</v>
      </c>
      <c r="D202" s="31" t="s">
        <v>588</v>
      </c>
      <c r="E202" s="123">
        <v>45</v>
      </c>
      <c r="F202" s="28">
        <v>45</v>
      </c>
      <c r="G202" s="60"/>
    </row>
    <row r="203" spans="1:7" ht="26.25" customHeight="1">
      <c r="A203" s="103"/>
      <c r="B203" s="23">
        <v>2</v>
      </c>
      <c r="C203" s="19" t="s">
        <v>589</v>
      </c>
      <c r="D203" s="31" t="s">
        <v>590</v>
      </c>
      <c r="E203" s="123">
        <v>90</v>
      </c>
      <c r="F203" s="28">
        <v>90</v>
      </c>
      <c r="G203" s="60"/>
    </row>
    <row r="204" spans="1:7" ht="26.25" customHeight="1">
      <c r="A204" s="103"/>
      <c r="B204" s="23">
        <v>3</v>
      </c>
      <c r="C204" s="19" t="s">
        <v>591</v>
      </c>
      <c r="D204" s="31" t="s">
        <v>592</v>
      </c>
      <c r="E204" s="123">
        <v>100</v>
      </c>
      <c r="F204" s="28">
        <v>100</v>
      </c>
      <c r="G204" s="60"/>
    </row>
    <row r="205" spans="1:7" ht="26.25" customHeight="1">
      <c r="A205" s="103"/>
      <c r="B205" s="23">
        <v>4</v>
      </c>
      <c r="C205" s="73" t="s">
        <v>593</v>
      </c>
      <c r="D205" s="31" t="s">
        <v>594</v>
      </c>
      <c r="E205" s="26">
        <v>100</v>
      </c>
      <c r="F205" s="28">
        <v>100</v>
      </c>
      <c r="G205" s="60"/>
    </row>
    <row r="206" spans="1:7" ht="26.25" customHeight="1">
      <c r="A206" s="103"/>
      <c r="B206" s="23">
        <v>5</v>
      </c>
      <c r="C206" s="63" t="s">
        <v>387</v>
      </c>
      <c r="D206" s="31" t="s">
        <v>596</v>
      </c>
      <c r="E206" s="123">
        <v>60</v>
      </c>
      <c r="F206" s="124">
        <v>60</v>
      </c>
      <c r="G206" s="60"/>
    </row>
    <row r="207" spans="1:7" ht="26.25" customHeight="1">
      <c r="A207" s="103"/>
      <c r="B207" s="58"/>
      <c r="C207" s="58"/>
      <c r="D207" s="58"/>
      <c r="E207" s="60"/>
      <c r="F207" s="122"/>
      <c r="G207" s="60"/>
    </row>
    <row r="208" spans="1:7" ht="26.25" customHeight="1">
      <c r="A208" s="103"/>
      <c r="B208" s="85"/>
      <c r="C208" s="85"/>
      <c r="D208" s="85"/>
      <c r="E208" s="77">
        <f t="shared" ref="E208:F208" si="5">SUM(E201:E207)</f>
        <v>395</v>
      </c>
      <c r="F208" s="77">
        <f t="shared" si="5"/>
        <v>395</v>
      </c>
      <c r="G208" s="77">
        <f>E208-F208</f>
        <v>0</v>
      </c>
    </row>
    <row r="209" spans="1:7" ht="26.25" customHeight="1">
      <c r="A209" s="111"/>
      <c r="B209" s="111"/>
      <c r="C209" s="111"/>
      <c r="D209" s="125"/>
      <c r="E209" s="126"/>
      <c r="F209" s="126"/>
      <c r="G209" s="126"/>
    </row>
    <row r="210" spans="1:7" ht="26.25" customHeight="1">
      <c r="A210" s="127"/>
      <c r="B210" s="191" t="s">
        <v>601</v>
      </c>
      <c r="C210" s="192"/>
      <c r="D210" s="192"/>
      <c r="E210" s="192"/>
      <c r="F210" s="192"/>
      <c r="G210" s="193"/>
    </row>
    <row r="211" spans="1:7" ht="26.25" customHeight="1">
      <c r="A211" s="55"/>
      <c r="B211" s="194" t="s">
        <v>1</v>
      </c>
      <c r="C211" s="196" t="s">
        <v>2</v>
      </c>
      <c r="D211" s="198" t="s">
        <v>4</v>
      </c>
      <c r="E211" s="216" t="s">
        <v>5</v>
      </c>
      <c r="F211" s="217" t="s">
        <v>6</v>
      </c>
      <c r="G211" s="196" t="s">
        <v>7</v>
      </c>
    </row>
    <row r="212" spans="1:7" ht="26.25" customHeight="1">
      <c r="A212" s="90"/>
      <c r="B212" s="195"/>
      <c r="C212" s="197"/>
      <c r="D212" s="199"/>
      <c r="E212" s="201"/>
      <c r="F212" s="195"/>
      <c r="G212" s="197"/>
    </row>
    <row r="213" spans="1:7" ht="26.25" customHeight="1">
      <c r="A213" s="90"/>
      <c r="B213" s="58"/>
      <c r="C213" s="118" t="s">
        <v>603</v>
      </c>
      <c r="D213" s="58"/>
      <c r="E213" s="122"/>
      <c r="F213" s="122"/>
      <c r="G213" s="60"/>
    </row>
    <row r="214" spans="1:7" ht="26.25" customHeight="1">
      <c r="A214" s="103"/>
      <c r="B214" s="23">
        <v>1</v>
      </c>
      <c r="C214" s="19" t="s">
        <v>271</v>
      </c>
      <c r="D214" s="31" t="s">
        <v>604</v>
      </c>
      <c r="E214" s="35">
        <v>50</v>
      </c>
      <c r="F214" s="13">
        <v>50</v>
      </c>
      <c r="G214" s="60"/>
    </row>
    <row r="215" spans="1:7" ht="26.25" customHeight="1">
      <c r="A215" s="103"/>
      <c r="B215" s="23">
        <v>2</v>
      </c>
      <c r="C215" s="19" t="s">
        <v>157</v>
      </c>
      <c r="D215" s="31" t="s">
        <v>605</v>
      </c>
      <c r="E215" s="35">
        <v>100</v>
      </c>
      <c r="F215" s="13">
        <v>100</v>
      </c>
      <c r="G215" s="60"/>
    </row>
    <row r="216" spans="1:7" ht="26.25" customHeight="1">
      <c r="A216" s="103"/>
      <c r="B216" s="23">
        <v>3</v>
      </c>
      <c r="C216" s="19" t="s">
        <v>61</v>
      </c>
      <c r="D216" s="31" t="s">
        <v>606</v>
      </c>
      <c r="E216" s="35">
        <v>15</v>
      </c>
      <c r="F216" s="13">
        <v>15</v>
      </c>
      <c r="G216" s="32" t="s">
        <v>607</v>
      </c>
    </row>
    <row r="217" spans="1:7" ht="26.25" customHeight="1">
      <c r="A217" s="103"/>
      <c r="B217" s="23">
        <v>4</v>
      </c>
      <c r="C217" s="73" t="s">
        <v>254</v>
      </c>
      <c r="D217" s="31" t="s">
        <v>609</v>
      </c>
      <c r="E217" s="32">
        <v>50</v>
      </c>
      <c r="F217" s="13">
        <v>50</v>
      </c>
      <c r="G217" s="60"/>
    </row>
    <row r="218" spans="1:7" ht="26.25" customHeight="1">
      <c r="A218" s="103"/>
      <c r="B218" s="23">
        <v>5</v>
      </c>
      <c r="C218" s="63" t="s">
        <v>610</v>
      </c>
      <c r="D218" s="31" t="s">
        <v>612</v>
      </c>
      <c r="E218" s="35">
        <v>40</v>
      </c>
      <c r="F218" s="13">
        <v>40</v>
      </c>
      <c r="G218" s="60"/>
    </row>
    <row r="219" spans="1:7" ht="26.25" customHeight="1">
      <c r="A219" s="103"/>
      <c r="B219" s="23">
        <v>6</v>
      </c>
      <c r="C219" s="19" t="s">
        <v>114</v>
      </c>
      <c r="D219" s="31" t="s">
        <v>613</v>
      </c>
      <c r="E219" s="35">
        <v>75</v>
      </c>
      <c r="F219" s="13">
        <v>75</v>
      </c>
      <c r="G219" s="60"/>
    </row>
    <row r="220" spans="1:7" ht="26.25" customHeight="1">
      <c r="A220" s="103"/>
      <c r="B220" s="23">
        <v>7</v>
      </c>
      <c r="C220" s="19" t="s">
        <v>71</v>
      </c>
      <c r="D220" s="31" t="s">
        <v>615</v>
      </c>
      <c r="E220" s="35">
        <f>126+63</f>
        <v>189</v>
      </c>
      <c r="F220" s="13">
        <v>189</v>
      </c>
      <c r="G220" s="60"/>
    </row>
    <row r="221" spans="1:7" ht="26.25" customHeight="1">
      <c r="A221" s="103"/>
      <c r="B221" s="23">
        <v>8</v>
      </c>
      <c r="C221" s="19" t="s">
        <v>516</v>
      </c>
      <c r="D221" s="31" t="s">
        <v>616</v>
      </c>
      <c r="E221" s="35">
        <v>100</v>
      </c>
      <c r="F221" s="13">
        <v>100</v>
      </c>
      <c r="G221" s="60"/>
    </row>
    <row r="222" spans="1:7" ht="26.25" customHeight="1">
      <c r="A222" s="103"/>
      <c r="B222" s="23">
        <v>9</v>
      </c>
      <c r="C222" s="63" t="s">
        <v>86</v>
      </c>
      <c r="D222" s="31" t="s">
        <v>617</v>
      </c>
      <c r="E222" s="35">
        <v>120</v>
      </c>
      <c r="F222" s="13">
        <v>120</v>
      </c>
      <c r="G222" s="60"/>
    </row>
    <row r="223" spans="1:7" ht="26.25" customHeight="1">
      <c r="A223" s="103"/>
      <c r="B223" s="23">
        <v>10</v>
      </c>
      <c r="C223" s="63" t="s">
        <v>82</v>
      </c>
      <c r="D223" s="31" t="s">
        <v>618</v>
      </c>
      <c r="E223" s="35">
        <v>252</v>
      </c>
      <c r="F223" s="13">
        <v>252</v>
      </c>
      <c r="G223" s="60"/>
    </row>
    <row r="224" spans="1:7" ht="26.25" customHeight="1">
      <c r="A224" s="103"/>
      <c r="B224" s="23">
        <v>11</v>
      </c>
      <c r="C224" s="63" t="s">
        <v>619</v>
      </c>
      <c r="D224" s="31" t="s">
        <v>620</v>
      </c>
      <c r="E224" s="35">
        <v>50</v>
      </c>
      <c r="F224" s="13">
        <v>50</v>
      </c>
      <c r="G224" s="60"/>
    </row>
    <row r="225" spans="1:7" ht="26.25" customHeight="1">
      <c r="A225" s="103"/>
      <c r="B225" s="23">
        <v>12</v>
      </c>
      <c r="C225" s="63" t="s">
        <v>392</v>
      </c>
      <c r="D225" s="31" t="s">
        <v>622</v>
      </c>
      <c r="E225" s="35">
        <v>75</v>
      </c>
      <c r="F225" s="13">
        <v>75</v>
      </c>
      <c r="G225" s="60"/>
    </row>
    <row r="226" spans="1:7" ht="26.25" customHeight="1">
      <c r="A226" s="103"/>
      <c r="B226" s="23">
        <v>13</v>
      </c>
      <c r="C226" s="63" t="s">
        <v>244</v>
      </c>
      <c r="D226" s="31" t="s">
        <v>623</v>
      </c>
      <c r="E226" s="35">
        <v>180</v>
      </c>
      <c r="F226" s="13">
        <v>180</v>
      </c>
      <c r="G226" s="60"/>
    </row>
    <row r="227" spans="1:7" ht="26.25" customHeight="1">
      <c r="A227" s="103"/>
      <c r="B227" s="23">
        <v>14</v>
      </c>
      <c r="C227" s="63" t="s">
        <v>110</v>
      </c>
      <c r="D227" s="31" t="s">
        <v>624</v>
      </c>
      <c r="E227" s="35">
        <v>240</v>
      </c>
      <c r="F227" s="13">
        <v>240</v>
      </c>
      <c r="G227" s="60"/>
    </row>
    <row r="228" spans="1:7" ht="26.25" customHeight="1">
      <c r="A228" s="103"/>
      <c r="B228" s="23">
        <v>15</v>
      </c>
      <c r="C228" s="63" t="s">
        <v>77</v>
      </c>
      <c r="D228" s="31" t="s">
        <v>625</v>
      </c>
      <c r="E228" s="35">
        <v>100</v>
      </c>
      <c r="F228" s="13">
        <v>100</v>
      </c>
      <c r="G228" s="60"/>
    </row>
    <row r="229" spans="1:7" ht="26.25" customHeight="1">
      <c r="A229" s="103"/>
      <c r="B229" s="23">
        <v>16</v>
      </c>
      <c r="C229" s="63" t="s">
        <v>260</v>
      </c>
      <c r="D229" s="31" t="s">
        <v>626</v>
      </c>
      <c r="E229" s="35">
        <v>50</v>
      </c>
      <c r="F229" s="13">
        <v>50</v>
      </c>
      <c r="G229" s="60"/>
    </row>
    <row r="230" spans="1:7" ht="26.25" customHeight="1">
      <c r="A230" s="103"/>
      <c r="B230" s="23">
        <v>17</v>
      </c>
      <c r="C230" s="63" t="s">
        <v>70</v>
      </c>
      <c r="D230" s="31" t="s">
        <v>629</v>
      </c>
      <c r="E230" s="35">
        <v>120</v>
      </c>
      <c r="F230" s="13">
        <v>120</v>
      </c>
      <c r="G230" s="60"/>
    </row>
    <row r="231" spans="1:7" ht="26.25" customHeight="1">
      <c r="A231" s="103"/>
      <c r="B231" s="23">
        <v>18</v>
      </c>
      <c r="C231" s="63" t="s">
        <v>630</v>
      </c>
      <c r="D231" s="31" t="s">
        <v>631</v>
      </c>
      <c r="E231" s="35">
        <v>200</v>
      </c>
      <c r="F231" s="13">
        <v>200</v>
      </c>
      <c r="G231" s="60"/>
    </row>
    <row r="232" spans="1:7" ht="26.25" customHeight="1">
      <c r="A232" s="103"/>
      <c r="B232" s="23">
        <v>19</v>
      </c>
      <c r="C232" s="63" t="s">
        <v>8</v>
      </c>
      <c r="D232" s="31" t="s">
        <v>632</v>
      </c>
      <c r="E232" s="35">
        <v>75</v>
      </c>
      <c r="F232" s="13">
        <v>75</v>
      </c>
      <c r="G232" s="60"/>
    </row>
    <row r="233" spans="1:7" ht="26.25" customHeight="1">
      <c r="A233" s="103"/>
      <c r="B233" s="23">
        <v>20</v>
      </c>
      <c r="C233" s="63" t="s">
        <v>20</v>
      </c>
      <c r="D233" s="31" t="s">
        <v>633</v>
      </c>
      <c r="E233" s="35">
        <v>90</v>
      </c>
      <c r="F233" s="13">
        <v>90</v>
      </c>
      <c r="G233" s="60"/>
    </row>
    <row r="234" spans="1:7" ht="26.25" customHeight="1">
      <c r="A234" s="103"/>
      <c r="B234" s="23">
        <v>21</v>
      </c>
      <c r="C234" s="63" t="s">
        <v>279</v>
      </c>
      <c r="D234" s="31" t="s">
        <v>634</v>
      </c>
      <c r="E234" s="35">
        <v>300</v>
      </c>
      <c r="F234" s="13">
        <v>300</v>
      </c>
      <c r="G234" s="60"/>
    </row>
    <row r="235" spans="1:7" ht="26.25" customHeight="1">
      <c r="A235" s="103"/>
      <c r="B235" s="23">
        <v>22</v>
      </c>
      <c r="C235" s="63" t="s">
        <v>16</v>
      </c>
      <c r="D235" s="31" t="s">
        <v>635</v>
      </c>
      <c r="E235" s="35">
        <v>120</v>
      </c>
      <c r="F235" s="13">
        <v>120</v>
      </c>
      <c r="G235" s="60"/>
    </row>
    <row r="236" spans="1:7" ht="26.25" customHeight="1">
      <c r="A236" s="103"/>
      <c r="B236" s="23">
        <v>23</v>
      </c>
      <c r="C236" s="63" t="s">
        <v>636</v>
      </c>
      <c r="D236" s="31" t="s">
        <v>637</v>
      </c>
      <c r="E236" s="35">
        <v>100</v>
      </c>
      <c r="F236" s="13">
        <v>100</v>
      </c>
      <c r="G236" s="60"/>
    </row>
    <row r="237" spans="1:7" ht="26.25" customHeight="1">
      <c r="A237" s="103"/>
      <c r="B237" s="23">
        <v>24</v>
      </c>
      <c r="C237" s="63" t="s">
        <v>430</v>
      </c>
      <c r="D237" s="31" t="s">
        <v>638</v>
      </c>
      <c r="E237" s="35">
        <v>50</v>
      </c>
      <c r="F237" s="13">
        <v>50</v>
      </c>
      <c r="G237" s="60"/>
    </row>
    <row r="238" spans="1:7" ht="26.25" customHeight="1">
      <c r="A238" s="103"/>
      <c r="B238" s="23">
        <v>25</v>
      </c>
      <c r="C238" s="63" t="s">
        <v>229</v>
      </c>
      <c r="D238" s="31" t="s">
        <v>639</v>
      </c>
      <c r="E238" s="35">
        <v>100</v>
      </c>
      <c r="F238" s="13">
        <v>100</v>
      </c>
      <c r="G238" s="60"/>
    </row>
    <row r="239" spans="1:7" ht="26.25" customHeight="1">
      <c r="A239" s="103"/>
      <c r="B239" s="23">
        <v>26</v>
      </c>
      <c r="C239" s="63" t="s">
        <v>124</v>
      </c>
      <c r="D239" s="31" t="s">
        <v>640</v>
      </c>
      <c r="E239" s="35">
        <v>150</v>
      </c>
      <c r="F239" s="13">
        <v>150</v>
      </c>
      <c r="G239" s="60"/>
    </row>
    <row r="240" spans="1:7" ht="26.25" customHeight="1">
      <c r="A240" s="103"/>
      <c r="B240" s="23">
        <v>27</v>
      </c>
      <c r="C240" s="63" t="s">
        <v>589</v>
      </c>
      <c r="D240" s="31" t="s">
        <v>641</v>
      </c>
      <c r="E240" s="35">
        <v>180</v>
      </c>
      <c r="F240" s="13">
        <v>180</v>
      </c>
      <c r="G240" s="32"/>
    </row>
    <row r="241" spans="1:7" ht="26.25" customHeight="1">
      <c r="A241" s="103"/>
      <c r="B241" s="23">
        <v>28</v>
      </c>
      <c r="C241" s="63" t="s">
        <v>492</v>
      </c>
      <c r="D241" s="31" t="s">
        <v>642</v>
      </c>
      <c r="E241" s="35">
        <v>100</v>
      </c>
      <c r="F241" s="13">
        <v>100</v>
      </c>
      <c r="G241" s="60"/>
    </row>
    <row r="242" spans="1:7" ht="26.25" customHeight="1">
      <c r="A242" s="103"/>
      <c r="B242" s="23">
        <v>29</v>
      </c>
      <c r="C242" s="63" t="s">
        <v>525</v>
      </c>
      <c r="D242" s="31" t="s">
        <v>644</v>
      </c>
      <c r="E242" s="35">
        <v>75</v>
      </c>
      <c r="F242" s="13">
        <v>75</v>
      </c>
      <c r="G242" s="60"/>
    </row>
    <row r="243" spans="1:7" ht="26.25" customHeight="1">
      <c r="A243" s="103"/>
      <c r="B243" s="23">
        <v>30</v>
      </c>
      <c r="C243" s="63" t="s">
        <v>127</v>
      </c>
      <c r="D243" s="31" t="s">
        <v>645</v>
      </c>
      <c r="E243" s="35">
        <v>600</v>
      </c>
      <c r="F243" s="13">
        <v>600</v>
      </c>
      <c r="G243" s="60"/>
    </row>
    <row r="244" spans="1:7" ht="26.25" customHeight="1">
      <c r="A244" s="103"/>
      <c r="B244" s="23">
        <v>31</v>
      </c>
      <c r="C244" s="63" t="s">
        <v>646</v>
      </c>
      <c r="D244" s="31" t="s">
        <v>647</v>
      </c>
      <c r="E244" s="35">
        <v>160</v>
      </c>
      <c r="F244" s="13">
        <v>160</v>
      </c>
      <c r="G244" s="60"/>
    </row>
    <row r="245" spans="1:7" ht="26.25" customHeight="1">
      <c r="A245" s="103"/>
      <c r="B245" s="23">
        <v>32</v>
      </c>
      <c r="C245" s="63" t="s">
        <v>648</v>
      </c>
      <c r="D245" s="31" t="s">
        <v>649</v>
      </c>
      <c r="E245" s="35">
        <v>125</v>
      </c>
      <c r="F245" s="13">
        <v>125</v>
      </c>
      <c r="G245" s="60"/>
    </row>
    <row r="246" spans="1:7" ht="26.25" customHeight="1">
      <c r="A246" s="103"/>
      <c r="B246" s="23">
        <v>33</v>
      </c>
      <c r="C246" s="63" t="s">
        <v>650</v>
      </c>
      <c r="D246" s="31" t="s">
        <v>651</v>
      </c>
      <c r="E246" s="35">
        <v>130</v>
      </c>
      <c r="F246" s="13">
        <v>130</v>
      </c>
      <c r="G246" s="60"/>
    </row>
    <row r="247" spans="1:7" ht="26.25" customHeight="1">
      <c r="A247" s="103"/>
      <c r="B247" s="23">
        <v>34</v>
      </c>
      <c r="C247" s="63" t="s">
        <v>653</v>
      </c>
      <c r="D247" s="31" t="s">
        <v>654</v>
      </c>
      <c r="E247" s="35">
        <v>100</v>
      </c>
      <c r="F247" s="13">
        <v>100</v>
      </c>
      <c r="G247" s="60"/>
    </row>
    <row r="248" spans="1:7" ht="26.25" customHeight="1">
      <c r="A248" s="103"/>
      <c r="B248" s="23">
        <v>35</v>
      </c>
      <c r="C248" s="63" t="s">
        <v>655</v>
      </c>
      <c r="D248" s="31" t="s">
        <v>656</v>
      </c>
      <c r="E248" s="35">
        <v>100</v>
      </c>
      <c r="F248" s="13">
        <v>100</v>
      </c>
      <c r="G248" s="60"/>
    </row>
    <row r="249" spans="1:7" ht="26.25" customHeight="1">
      <c r="A249" s="103"/>
      <c r="B249" s="23">
        <v>36</v>
      </c>
      <c r="C249" s="63" t="s">
        <v>657</v>
      </c>
      <c r="D249" s="31" t="s">
        <v>658</v>
      </c>
      <c r="E249" s="35">
        <v>75</v>
      </c>
      <c r="F249" s="13">
        <v>75</v>
      </c>
      <c r="G249" s="60"/>
    </row>
    <row r="250" spans="1:7" ht="26.25" customHeight="1">
      <c r="A250" s="103"/>
      <c r="B250" s="23">
        <v>37</v>
      </c>
      <c r="C250" s="63" t="s">
        <v>659</v>
      </c>
      <c r="D250" s="31" t="s">
        <v>660</v>
      </c>
      <c r="E250" s="35">
        <v>75</v>
      </c>
      <c r="F250" s="13">
        <v>75</v>
      </c>
      <c r="G250" s="60"/>
    </row>
    <row r="251" spans="1:7" ht="26.25" customHeight="1">
      <c r="A251" s="111"/>
      <c r="B251" s="23">
        <v>38</v>
      </c>
      <c r="C251" s="63" t="s">
        <v>663</v>
      </c>
      <c r="D251" s="31" t="s">
        <v>664</v>
      </c>
      <c r="E251" s="35">
        <v>100</v>
      </c>
      <c r="F251" s="13">
        <v>100</v>
      </c>
      <c r="G251" s="60"/>
    </row>
    <row r="252" spans="1:7" ht="26.25" customHeight="1">
      <c r="A252" s="53"/>
      <c r="B252" s="23">
        <v>39</v>
      </c>
      <c r="C252" s="63" t="s">
        <v>406</v>
      </c>
      <c r="D252" s="31" t="s">
        <v>665</v>
      </c>
      <c r="E252" s="35">
        <v>100</v>
      </c>
      <c r="F252" s="13">
        <v>100</v>
      </c>
      <c r="G252" s="60"/>
    </row>
    <row r="253" spans="1:7" ht="26.25" customHeight="1">
      <c r="A253" s="55"/>
      <c r="B253" s="23">
        <v>40</v>
      </c>
      <c r="C253" s="63" t="s">
        <v>29</v>
      </c>
      <c r="D253" s="31" t="s">
        <v>667</v>
      </c>
      <c r="E253" s="35">
        <v>80</v>
      </c>
      <c r="F253" s="13">
        <v>80</v>
      </c>
      <c r="G253" s="60"/>
    </row>
    <row r="254" spans="1:7" ht="26.25" customHeight="1">
      <c r="A254" s="90"/>
      <c r="B254" s="23">
        <v>41</v>
      </c>
      <c r="C254" s="63" t="s">
        <v>610</v>
      </c>
      <c r="D254" s="31" t="s">
        <v>668</v>
      </c>
      <c r="E254" s="35">
        <v>80</v>
      </c>
      <c r="F254" s="13">
        <v>80</v>
      </c>
      <c r="G254" s="60"/>
    </row>
    <row r="255" spans="1:7" ht="26.25" customHeight="1">
      <c r="A255" s="90"/>
      <c r="B255" s="23">
        <v>42</v>
      </c>
      <c r="C255" s="63" t="s">
        <v>362</v>
      </c>
      <c r="D255" s="31" t="s">
        <v>671</v>
      </c>
      <c r="E255" s="35">
        <v>130</v>
      </c>
      <c r="F255" s="13">
        <v>130</v>
      </c>
      <c r="G255" s="60"/>
    </row>
    <row r="256" spans="1:7" ht="26.25" customHeight="1">
      <c r="A256" s="90"/>
      <c r="B256" s="58"/>
      <c r="C256" s="58"/>
      <c r="D256" s="58"/>
      <c r="E256" s="60"/>
      <c r="F256" s="60"/>
      <c r="G256" s="60"/>
    </row>
    <row r="257" spans="1:7" ht="26.25" customHeight="1">
      <c r="A257" s="103"/>
      <c r="B257" s="85"/>
      <c r="C257" s="85"/>
      <c r="D257" s="85"/>
      <c r="E257" s="86">
        <f t="shared" ref="E257:F257" si="6">SUM(E213:E256)</f>
        <v>5201</v>
      </c>
      <c r="F257" s="86">
        <f t="shared" si="6"/>
        <v>5201</v>
      </c>
      <c r="G257" s="86">
        <f>E257-F257</f>
        <v>0</v>
      </c>
    </row>
    <row r="258" spans="1:7" ht="26.25" customHeight="1">
      <c r="A258" s="103"/>
      <c r="B258" s="103"/>
      <c r="C258" s="112"/>
      <c r="D258" s="103"/>
      <c r="E258" s="113"/>
      <c r="F258" s="129"/>
      <c r="G258" s="113"/>
    </row>
    <row r="259" spans="1:7" ht="26.25" customHeight="1">
      <c r="A259" s="103"/>
      <c r="B259" s="191" t="s">
        <v>679</v>
      </c>
      <c r="C259" s="192"/>
      <c r="D259" s="192"/>
      <c r="E259" s="192"/>
      <c r="F259" s="192"/>
      <c r="G259" s="193"/>
    </row>
    <row r="260" spans="1:7" ht="26.25" customHeight="1">
      <c r="A260" s="103"/>
      <c r="B260" s="194" t="s">
        <v>1</v>
      </c>
      <c r="C260" s="196" t="s">
        <v>2</v>
      </c>
      <c r="D260" s="198" t="s">
        <v>4</v>
      </c>
      <c r="E260" s="200" t="s">
        <v>5</v>
      </c>
      <c r="F260" s="202" t="s">
        <v>6</v>
      </c>
      <c r="G260" s="203" t="s">
        <v>7</v>
      </c>
    </row>
    <row r="261" spans="1:7" ht="26.25" customHeight="1">
      <c r="A261" s="103"/>
      <c r="B261" s="195"/>
      <c r="C261" s="197"/>
      <c r="D261" s="199"/>
      <c r="E261" s="201"/>
      <c r="F261" s="195"/>
      <c r="G261" s="197"/>
    </row>
    <row r="262" spans="1:7" ht="26.25" customHeight="1">
      <c r="A262" s="103"/>
      <c r="B262" s="58"/>
      <c r="C262" s="118" t="s">
        <v>688</v>
      </c>
      <c r="D262" s="58"/>
      <c r="E262" s="60"/>
      <c r="F262" s="60"/>
      <c r="G262" s="60"/>
    </row>
    <row r="263" spans="1:7" ht="26.25" customHeight="1">
      <c r="A263" s="103"/>
      <c r="B263" s="23">
        <v>1</v>
      </c>
      <c r="C263" s="63" t="s">
        <v>689</v>
      </c>
      <c r="D263" s="31" t="s">
        <v>691</v>
      </c>
      <c r="E263" s="35">
        <v>70</v>
      </c>
      <c r="F263" s="13">
        <v>70</v>
      </c>
      <c r="G263" s="60"/>
    </row>
    <row r="264" spans="1:7" ht="26.25" customHeight="1">
      <c r="A264" s="103"/>
      <c r="B264" s="23">
        <v>2</v>
      </c>
      <c r="C264" s="63" t="s">
        <v>389</v>
      </c>
      <c r="D264" s="64" t="s">
        <v>692</v>
      </c>
      <c r="E264" s="35">
        <v>100</v>
      </c>
      <c r="F264" s="13">
        <v>100</v>
      </c>
      <c r="G264" s="60"/>
    </row>
    <row r="265" spans="1:7" ht="26.25" customHeight="1">
      <c r="A265" s="103"/>
      <c r="B265" s="23">
        <v>3</v>
      </c>
      <c r="C265" s="63" t="s">
        <v>23</v>
      </c>
      <c r="D265" s="64" t="s">
        <v>694</v>
      </c>
      <c r="E265" s="35">
        <v>100</v>
      </c>
      <c r="F265" s="13">
        <v>100</v>
      </c>
      <c r="G265" s="60"/>
    </row>
    <row r="266" spans="1:7" ht="26.25" customHeight="1">
      <c r="A266" s="103"/>
      <c r="B266" s="23">
        <v>4</v>
      </c>
      <c r="C266" s="63" t="s">
        <v>71</v>
      </c>
      <c r="D266" s="64" t="s">
        <v>696</v>
      </c>
      <c r="E266" s="35">
        <v>126</v>
      </c>
      <c r="F266" s="13">
        <v>126</v>
      </c>
      <c r="G266" s="60"/>
    </row>
    <row r="267" spans="1:7" ht="26.25" customHeight="1">
      <c r="A267" s="103"/>
      <c r="B267" s="23">
        <v>5</v>
      </c>
      <c r="C267" s="63" t="s">
        <v>86</v>
      </c>
      <c r="D267" s="64" t="s">
        <v>698</v>
      </c>
      <c r="E267" s="35">
        <v>60</v>
      </c>
      <c r="F267" s="13">
        <v>60</v>
      </c>
      <c r="G267" s="60"/>
    </row>
    <row r="268" spans="1:7" ht="26.25" customHeight="1">
      <c r="A268" s="103"/>
      <c r="B268" s="23">
        <v>6</v>
      </c>
      <c r="C268" s="63" t="s">
        <v>82</v>
      </c>
      <c r="D268" s="64" t="s">
        <v>700</v>
      </c>
      <c r="E268" s="35">
        <v>126</v>
      </c>
      <c r="F268" s="13">
        <v>126</v>
      </c>
      <c r="G268" s="60"/>
    </row>
    <row r="269" spans="1:7" ht="26.25" customHeight="1">
      <c r="A269" s="103"/>
      <c r="B269" s="23">
        <v>7</v>
      </c>
      <c r="C269" s="63" t="s">
        <v>309</v>
      </c>
      <c r="D269" s="64" t="s">
        <v>701</v>
      </c>
      <c r="E269" s="35">
        <v>135</v>
      </c>
      <c r="F269" s="13">
        <v>135</v>
      </c>
      <c r="G269" s="60"/>
    </row>
    <row r="270" spans="1:7" ht="26.25" customHeight="1">
      <c r="A270" s="103"/>
      <c r="B270" s="23">
        <v>8</v>
      </c>
      <c r="C270" s="63" t="s">
        <v>543</v>
      </c>
      <c r="D270" s="64" t="s">
        <v>703</v>
      </c>
      <c r="E270" s="35">
        <v>240</v>
      </c>
      <c r="F270" s="13">
        <v>240</v>
      </c>
      <c r="G270" s="60"/>
    </row>
    <row r="271" spans="1:7" ht="26.25" customHeight="1">
      <c r="A271" s="103"/>
      <c r="B271" s="23">
        <v>9</v>
      </c>
      <c r="C271" s="63" t="s">
        <v>215</v>
      </c>
      <c r="D271" s="64" t="s">
        <v>704</v>
      </c>
      <c r="E271" s="35">
        <v>100</v>
      </c>
      <c r="F271" s="13">
        <v>100</v>
      </c>
      <c r="G271" s="60"/>
    </row>
    <row r="272" spans="1:7" ht="26.25" customHeight="1">
      <c r="A272" s="103"/>
      <c r="B272" s="23">
        <v>10</v>
      </c>
      <c r="C272" s="63" t="s">
        <v>705</v>
      </c>
      <c r="D272" s="64" t="s">
        <v>706</v>
      </c>
      <c r="E272" s="35">
        <v>40</v>
      </c>
      <c r="F272" s="13">
        <v>40</v>
      </c>
      <c r="G272" s="60"/>
    </row>
    <row r="273" spans="1:7" ht="26.25" customHeight="1">
      <c r="A273" s="103"/>
      <c r="B273" s="23">
        <v>11</v>
      </c>
      <c r="C273" s="63" t="s">
        <v>17</v>
      </c>
      <c r="D273" s="64" t="s">
        <v>707</v>
      </c>
      <c r="E273" s="35">
        <v>170</v>
      </c>
      <c r="F273" s="13">
        <v>170</v>
      </c>
      <c r="G273" s="60"/>
    </row>
    <row r="274" spans="1:7" ht="26.25" customHeight="1">
      <c r="A274" s="103"/>
      <c r="B274" s="23">
        <v>12</v>
      </c>
      <c r="C274" s="63" t="s">
        <v>369</v>
      </c>
      <c r="D274" s="64" t="s">
        <v>708</v>
      </c>
      <c r="E274" s="35">
        <v>100</v>
      </c>
      <c r="F274" s="13">
        <v>100</v>
      </c>
      <c r="G274" s="60"/>
    </row>
    <row r="275" spans="1:7" ht="26.25" customHeight="1">
      <c r="A275" s="103"/>
      <c r="B275" s="23">
        <v>13</v>
      </c>
      <c r="C275" s="63" t="s">
        <v>237</v>
      </c>
      <c r="D275" s="64" t="s">
        <v>709</v>
      </c>
      <c r="E275" s="35">
        <v>100</v>
      </c>
      <c r="F275" s="13">
        <v>100</v>
      </c>
      <c r="G275" s="60"/>
    </row>
    <row r="276" spans="1:7" ht="26.25" customHeight="1">
      <c r="A276" s="103"/>
      <c r="B276" s="23">
        <v>14</v>
      </c>
      <c r="C276" s="63" t="s">
        <v>279</v>
      </c>
      <c r="D276" s="64" t="s">
        <v>711</v>
      </c>
      <c r="E276" s="35">
        <v>100</v>
      </c>
      <c r="F276" s="13">
        <v>100</v>
      </c>
      <c r="G276" s="60"/>
    </row>
    <row r="277" spans="1:7" ht="26.25" customHeight="1">
      <c r="A277" s="103"/>
      <c r="B277" s="23">
        <v>15</v>
      </c>
      <c r="C277" s="63" t="s">
        <v>71</v>
      </c>
      <c r="D277" s="64" t="s">
        <v>712</v>
      </c>
      <c r="E277" s="35">
        <v>240</v>
      </c>
      <c r="F277" s="13">
        <v>240</v>
      </c>
      <c r="G277" s="60"/>
    </row>
    <row r="278" spans="1:7" ht="26.25" customHeight="1">
      <c r="A278" s="103"/>
      <c r="B278" s="23">
        <v>16</v>
      </c>
      <c r="C278" s="63" t="s">
        <v>562</v>
      </c>
      <c r="D278" s="64" t="s">
        <v>715</v>
      </c>
      <c r="E278" s="35">
        <v>75</v>
      </c>
      <c r="F278" s="13">
        <v>75</v>
      </c>
      <c r="G278" s="60"/>
    </row>
    <row r="279" spans="1:7" ht="26.25" customHeight="1">
      <c r="A279" s="103"/>
      <c r="B279" s="23">
        <v>17</v>
      </c>
      <c r="C279" s="63" t="s">
        <v>285</v>
      </c>
      <c r="D279" s="64" t="s">
        <v>717</v>
      </c>
      <c r="E279" s="35">
        <v>150</v>
      </c>
      <c r="F279" s="13">
        <v>150</v>
      </c>
      <c r="G279" s="60"/>
    </row>
    <row r="280" spans="1:7" ht="26.25" customHeight="1">
      <c r="A280" s="103"/>
      <c r="B280" s="23">
        <v>18</v>
      </c>
      <c r="C280" s="63" t="s">
        <v>242</v>
      </c>
      <c r="D280" s="64" t="s">
        <v>718</v>
      </c>
      <c r="E280" s="35">
        <v>75</v>
      </c>
      <c r="F280" s="13">
        <v>75</v>
      </c>
      <c r="G280" s="60"/>
    </row>
    <row r="281" spans="1:7" ht="26.25" customHeight="1">
      <c r="A281" s="103"/>
      <c r="B281" s="23">
        <v>19</v>
      </c>
      <c r="C281" s="63" t="s">
        <v>719</v>
      </c>
      <c r="D281" s="64" t="s">
        <v>720</v>
      </c>
      <c r="E281" s="35">
        <v>150</v>
      </c>
      <c r="F281" s="13">
        <v>150</v>
      </c>
      <c r="G281" s="32"/>
    </row>
    <row r="282" spans="1:7" ht="26.25" customHeight="1">
      <c r="A282" s="103"/>
      <c r="B282" s="23">
        <v>20</v>
      </c>
      <c r="C282" s="63" t="s">
        <v>447</v>
      </c>
      <c r="D282" s="64" t="s">
        <v>721</v>
      </c>
      <c r="E282" s="35">
        <v>75</v>
      </c>
      <c r="F282" s="13">
        <v>75</v>
      </c>
      <c r="G282" s="60"/>
    </row>
    <row r="283" spans="1:7" ht="26.25" customHeight="1">
      <c r="A283" s="103"/>
      <c r="B283" s="23">
        <v>21</v>
      </c>
      <c r="C283" s="63" t="s">
        <v>722</v>
      </c>
      <c r="D283" s="64" t="s">
        <v>723</v>
      </c>
      <c r="E283" s="35">
        <v>300</v>
      </c>
      <c r="F283" s="13">
        <v>300</v>
      </c>
      <c r="G283" s="60"/>
    </row>
    <row r="284" spans="1:7" ht="26.25" customHeight="1">
      <c r="A284" s="103"/>
      <c r="B284" s="23">
        <v>22</v>
      </c>
      <c r="C284" s="63" t="s">
        <v>528</v>
      </c>
      <c r="D284" s="64" t="s">
        <v>724</v>
      </c>
      <c r="E284" s="35">
        <v>100</v>
      </c>
      <c r="F284" s="13">
        <v>100</v>
      </c>
      <c r="G284" s="60"/>
    </row>
    <row r="285" spans="1:7" ht="26.25" customHeight="1">
      <c r="A285" s="103"/>
      <c r="B285" s="23">
        <v>23</v>
      </c>
      <c r="C285" s="63" t="s">
        <v>727</v>
      </c>
      <c r="D285" s="64" t="s">
        <v>728</v>
      </c>
      <c r="E285" s="35">
        <v>150</v>
      </c>
      <c r="F285" s="13">
        <v>150</v>
      </c>
      <c r="G285" s="60"/>
    </row>
    <row r="286" spans="1:7" ht="26.25" customHeight="1">
      <c r="A286" s="103"/>
      <c r="B286" s="23">
        <v>24</v>
      </c>
      <c r="C286" s="63" t="s">
        <v>286</v>
      </c>
      <c r="D286" s="64" t="s">
        <v>731</v>
      </c>
      <c r="E286" s="35">
        <v>160</v>
      </c>
      <c r="F286" s="13">
        <v>160</v>
      </c>
      <c r="G286" s="60"/>
    </row>
    <row r="287" spans="1:7" ht="26.25" customHeight="1">
      <c r="A287" s="103"/>
      <c r="B287" s="23">
        <v>25</v>
      </c>
      <c r="C287" s="63" t="s">
        <v>34</v>
      </c>
      <c r="D287" s="64" t="s">
        <v>732</v>
      </c>
      <c r="E287" s="35">
        <v>120</v>
      </c>
      <c r="F287" s="13">
        <v>120</v>
      </c>
      <c r="G287" s="60"/>
    </row>
    <row r="288" spans="1:7" ht="26.25" customHeight="1">
      <c r="A288" s="103"/>
      <c r="B288" s="23">
        <v>26</v>
      </c>
      <c r="C288" s="63" t="s">
        <v>733</v>
      </c>
      <c r="D288" s="64" t="s">
        <v>734</v>
      </c>
      <c r="E288" s="35">
        <v>100</v>
      </c>
      <c r="F288" s="13">
        <v>100</v>
      </c>
      <c r="G288" s="60"/>
    </row>
    <row r="289" spans="1:7" ht="26.25" customHeight="1">
      <c r="A289" s="103"/>
      <c r="B289" s="23">
        <v>27</v>
      </c>
      <c r="C289" s="63" t="s">
        <v>419</v>
      </c>
      <c r="D289" s="64" t="s">
        <v>737</v>
      </c>
      <c r="E289" s="35">
        <v>100</v>
      </c>
      <c r="F289" s="13">
        <v>100</v>
      </c>
      <c r="G289" s="60"/>
    </row>
    <row r="290" spans="1:7" ht="26.25" customHeight="1">
      <c r="A290" s="103"/>
      <c r="B290" s="23">
        <v>28</v>
      </c>
      <c r="C290" s="63" t="s">
        <v>217</v>
      </c>
      <c r="D290" s="64" t="s">
        <v>738</v>
      </c>
      <c r="E290" s="35">
        <v>100</v>
      </c>
      <c r="F290" s="13">
        <v>100</v>
      </c>
      <c r="G290" s="60"/>
    </row>
    <row r="291" spans="1:7" ht="26.25" customHeight="1">
      <c r="A291" s="103"/>
      <c r="B291" s="23">
        <v>29</v>
      </c>
      <c r="C291" s="63" t="s">
        <v>741</v>
      </c>
      <c r="D291" s="64" t="s">
        <v>742</v>
      </c>
      <c r="E291" s="35">
        <v>75</v>
      </c>
      <c r="F291" s="13">
        <v>75</v>
      </c>
      <c r="G291" s="60"/>
    </row>
    <row r="292" spans="1:7" ht="26.25" customHeight="1">
      <c r="A292" s="103"/>
      <c r="B292" s="23">
        <v>30</v>
      </c>
      <c r="C292" s="63" t="s">
        <v>743</v>
      </c>
      <c r="D292" s="64" t="s">
        <v>744</v>
      </c>
      <c r="E292" s="35">
        <v>100</v>
      </c>
      <c r="F292" s="13">
        <v>100</v>
      </c>
      <c r="G292" s="60"/>
    </row>
    <row r="293" spans="1:7" ht="26.25" customHeight="1">
      <c r="A293" s="103"/>
      <c r="B293" s="23">
        <v>31</v>
      </c>
      <c r="C293" s="63" t="s">
        <v>745</v>
      </c>
      <c r="D293" s="64" t="s">
        <v>746</v>
      </c>
      <c r="E293" s="35">
        <v>50</v>
      </c>
      <c r="F293" s="13">
        <v>50</v>
      </c>
      <c r="G293" s="60"/>
    </row>
    <row r="294" spans="1:7" ht="26.25" customHeight="1">
      <c r="A294" s="103"/>
      <c r="B294" s="23">
        <v>32</v>
      </c>
      <c r="C294" s="63" t="s">
        <v>747</v>
      </c>
      <c r="D294" s="64" t="s">
        <v>748</v>
      </c>
      <c r="E294" s="35">
        <v>100</v>
      </c>
      <c r="F294" s="13">
        <v>100</v>
      </c>
      <c r="G294" s="60"/>
    </row>
    <row r="295" spans="1:7" ht="26.25" customHeight="1">
      <c r="A295" s="103"/>
      <c r="B295" s="23">
        <v>33</v>
      </c>
      <c r="C295" s="63" t="s">
        <v>34</v>
      </c>
      <c r="D295" s="64" t="s">
        <v>750</v>
      </c>
      <c r="E295" s="35">
        <v>40</v>
      </c>
      <c r="F295" s="13">
        <v>40</v>
      </c>
      <c r="G295" s="60"/>
    </row>
    <row r="296" spans="1:7" ht="26.25" customHeight="1">
      <c r="A296" s="103"/>
      <c r="B296" s="23">
        <v>34</v>
      </c>
      <c r="C296" s="63" t="s">
        <v>34</v>
      </c>
      <c r="D296" s="64" t="s">
        <v>754</v>
      </c>
      <c r="E296" s="35">
        <v>40</v>
      </c>
      <c r="F296" s="13">
        <v>40</v>
      </c>
      <c r="G296" s="60"/>
    </row>
    <row r="297" spans="1:7" ht="26.25" customHeight="1">
      <c r="A297" s="103"/>
      <c r="B297" s="23">
        <v>35</v>
      </c>
      <c r="C297" s="63" t="s">
        <v>689</v>
      </c>
      <c r="D297" s="31" t="s">
        <v>755</v>
      </c>
      <c r="E297" s="35">
        <v>70</v>
      </c>
      <c r="F297" s="13">
        <v>70</v>
      </c>
      <c r="G297" s="60"/>
    </row>
    <row r="298" spans="1:7" ht="26.25" customHeight="1">
      <c r="A298" s="103"/>
      <c r="B298" s="58"/>
      <c r="C298" s="58"/>
      <c r="D298" s="58"/>
      <c r="E298" s="60"/>
      <c r="F298" s="60"/>
      <c r="G298" s="60"/>
    </row>
    <row r="299" spans="1:7" ht="26.25" customHeight="1">
      <c r="A299" s="103"/>
      <c r="B299" s="85"/>
      <c r="C299" s="85"/>
      <c r="D299" s="85"/>
      <c r="E299" s="86">
        <f t="shared" ref="E299:F299" si="7">SUM(E262:E298)</f>
        <v>3937</v>
      </c>
      <c r="F299" s="86">
        <f t="shared" si="7"/>
        <v>3937</v>
      </c>
      <c r="G299" s="86">
        <f>E299-F299</f>
        <v>0</v>
      </c>
    </row>
    <row r="300" spans="1:7" ht="26.25" customHeight="1">
      <c r="A300" s="103"/>
      <c r="B300" s="103"/>
      <c r="C300" s="112"/>
      <c r="D300" s="103"/>
      <c r="E300" s="113"/>
      <c r="F300" s="135"/>
      <c r="G300" s="113"/>
    </row>
    <row r="301" spans="1:7" ht="26.25" customHeight="1">
      <c r="A301" s="103"/>
      <c r="B301" s="191" t="s">
        <v>763</v>
      </c>
      <c r="C301" s="192"/>
      <c r="D301" s="192"/>
      <c r="E301" s="192"/>
      <c r="F301" s="192"/>
      <c r="G301" s="193"/>
    </row>
    <row r="302" spans="1:7" ht="26.25" customHeight="1">
      <c r="A302" s="103"/>
      <c r="B302" s="194" t="s">
        <v>1</v>
      </c>
      <c r="C302" s="196" t="s">
        <v>2</v>
      </c>
      <c r="D302" s="198" t="s">
        <v>4</v>
      </c>
      <c r="E302" s="200" t="s">
        <v>5</v>
      </c>
      <c r="F302" s="202" t="s">
        <v>6</v>
      </c>
      <c r="G302" s="203" t="s">
        <v>7</v>
      </c>
    </row>
    <row r="303" spans="1:7" ht="26.25" customHeight="1">
      <c r="A303" s="111"/>
      <c r="B303" s="195"/>
      <c r="C303" s="197"/>
      <c r="D303" s="199"/>
      <c r="E303" s="201"/>
      <c r="F303" s="195"/>
      <c r="G303" s="197"/>
    </row>
    <row r="304" spans="1:7" ht="26.25" customHeight="1">
      <c r="A304" s="53"/>
      <c r="B304" s="58"/>
      <c r="C304" s="59" t="s">
        <v>770</v>
      </c>
      <c r="D304" s="58"/>
      <c r="E304" s="60"/>
      <c r="F304" s="60"/>
      <c r="G304" s="60"/>
    </row>
    <row r="305" spans="1:7" ht="26.25" customHeight="1">
      <c r="A305" s="55"/>
      <c r="B305" s="23">
        <v>1</v>
      </c>
      <c r="C305" s="63" t="s">
        <v>772</v>
      </c>
      <c r="D305" s="31" t="s">
        <v>773</v>
      </c>
      <c r="E305" s="35">
        <v>20</v>
      </c>
      <c r="F305" s="13">
        <v>20</v>
      </c>
      <c r="G305" s="60"/>
    </row>
    <row r="306" spans="1:7" ht="26.25" customHeight="1">
      <c r="A306" s="90"/>
      <c r="B306" s="23">
        <v>2</v>
      </c>
      <c r="C306" s="63" t="s">
        <v>775</v>
      </c>
      <c r="D306" s="31" t="s">
        <v>776</v>
      </c>
      <c r="E306" s="35">
        <v>500</v>
      </c>
      <c r="F306" s="13">
        <v>500</v>
      </c>
      <c r="G306" s="60"/>
    </row>
    <row r="307" spans="1:7" ht="26.25" customHeight="1">
      <c r="A307" s="90"/>
      <c r="B307" s="23">
        <v>3</v>
      </c>
      <c r="C307" s="63" t="s">
        <v>589</v>
      </c>
      <c r="D307" s="31" t="s">
        <v>779</v>
      </c>
      <c r="E307" s="35">
        <v>90</v>
      </c>
      <c r="F307" s="13">
        <v>90</v>
      </c>
      <c r="G307" s="60"/>
    </row>
    <row r="308" spans="1:7" ht="26.25" customHeight="1">
      <c r="A308" s="90"/>
      <c r="B308" s="23">
        <v>4</v>
      </c>
      <c r="C308" s="19" t="s">
        <v>781</v>
      </c>
      <c r="D308" s="31" t="s">
        <v>782</v>
      </c>
      <c r="E308" s="35">
        <v>100</v>
      </c>
      <c r="F308" s="13">
        <v>100</v>
      </c>
      <c r="G308" s="60"/>
    </row>
    <row r="309" spans="1:7" ht="26.25" customHeight="1">
      <c r="A309" s="103"/>
      <c r="B309" s="23">
        <v>5</v>
      </c>
      <c r="C309" s="63" t="s">
        <v>38</v>
      </c>
      <c r="D309" s="31" t="s">
        <v>785</v>
      </c>
      <c r="E309" s="35">
        <v>40</v>
      </c>
      <c r="F309" s="13">
        <v>40</v>
      </c>
      <c r="G309" s="60"/>
    </row>
    <row r="310" spans="1:7" ht="26.25" customHeight="1">
      <c r="A310" s="103"/>
      <c r="B310" s="23">
        <v>6</v>
      </c>
      <c r="C310" s="63" t="s">
        <v>786</v>
      </c>
      <c r="D310" s="31" t="s">
        <v>788</v>
      </c>
      <c r="E310" s="35">
        <v>100</v>
      </c>
      <c r="F310" s="13">
        <v>100</v>
      </c>
      <c r="G310" s="60"/>
    </row>
    <row r="311" spans="1:7" ht="26.25" customHeight="1">
      <c r="A311" s="103"/>
      <c r="B311" s="23">
        <v>7</v>
      </c>
      <c r="C311" s="19" t="s">
        <v>53</v>
      </c>
      <c r="D311" s="31" t="s">
        <v>789</v>
      </c>
      <c r="E311" s="35">
        <v>22</v>
      </c>
      <c r="F311" s="13">
        <v>22</v>
      </c>
      <c r="G311" s="60"/>
    </row>
    <row r="312" spans="1:7" ht="26.25" customHeight="1">
      <c r="A312" s="103"/>
      <c r="B312" s="23">
        <v>8</v>
      </c>
      <c r="C312" s="19" t="s">
        <v>49</v>
      </c>
      <c r="D312" s="31" t="s">
        <v>791</v>
      </c>
      <c r="E312" s="35">
        <v>80</v>
      </c>
      <c r="F312" s="13">
        <v>80</v>
      </c>
      <c r="G312" s="60"/>
    </row>
    <row r="313" spans="1:7" ht="26.25" customHeight="1">
      <c r="A313" s="103"/>
      <c r="B313" s="23">
        <v>9</v>
      </c>
      <c r="C313" s="19" t="s">
        <v>619</v>
      </c>
      <c r="D313" s="31" t="s">
        <v>793</v>
      </c>
      <c r="E313" s="35">
        <v>25</v>
      </c>
      <c r="F313" s="13">
        <v>25</v>
      </c>
      <c r="G313" s="60"/>
    </row>
    <row r="314" spans="1:7" ht="26.25" customHeight="1">
      <c r="A314" s="103"/>
      <c r="B314" s="23">
        <v>10</v>
      </c>
      <c r="C314" s="63" t="s">
        <v>796</v>
      </c>
      <c r="D314" s="31" t="s">
        <v>797</v>
      </c>
      <c r="E314" s="35">
        <v>100</v>
      </c>
      <c r="F314" s="13">
        <v>100</v>
      </c>
      <c r="G314" s="60"/>
    </row>
    <row r="315" spans="1:7" ht="26.25" customHeight="1">
      <c r="A315" s="103"/>
      <c r="B315" s="23">
        <v>11</v>
      </c>
      <c r="C315" s="63" t="s">
        <v>799</v>
      </c>
      <c r="D315" s="31" t="s">
        <v>804</v>
      </c>
      <c r="E315" s="35">
        <v>130</v>
      </c>
      <c r="F315" s="13">
        <v>130</v>
      </c>
      <c r="G315" s="60"/>
    </row>
    <row r="316" spans="1:7" ht="26.25" customHeight="1">
      <c r="A316" s="103"/>
      <c r="B316" s="23">
        <v>12</v>
      </c>
      <c r="C316" s="63" t="s">
        <v>70</v>
      </c>
      <c r="D316" s="31" t="s">
        <v>805</v>
      </c>
      <c r="E316" s="35">
        <v>120</v>
      </c>
      <c r="F316" s="13">
        <v>120</v>
      </c>
      <c r="G316" s="60"/>
    </row>
    <row r="317" spans="1:7" ht="26.25" customHeight="1">
      <c r="A317" s="103"/>
      <c r="B317" s="23">
        <v>13</v>
      </c>
      <c r="C317" s="63" t="s">
        <v>102</v>
      </c>
      <c r="D317" s="31" t="s">
        <v>806</v>
      </c>
      <c r="E317" s="35">
        <v>100</v>
      </c>
      <c r="F317" s="13">
        <v>100</v>
      </c>
      <c r="G317" s="60"/>
    </row>
    <row r="318" spans="1:7" ht="26.25" customHeight="1">
      <c r="A318" s="103"/>
      <c r="B318" s="23">
        <v>14</v>
      </c>
      <c r="C318" s="63" t="s">
        <v>807</v>
      </c>
      <c r="D318" s="31" t="s">
        <v>808</v>
      </c>
      <c r="E318" s="35">
        <v>100</v>
      </c>
      <c r="F318" s="13">
        <v>100</v>
      </c>
      <c r="G318" s="60"/>
    </row>
    <row r="319" spans="1:7" ht="26.25" customHeight="1">
      <c r="A319" s="103"/>
      <c r="B319" s="23">
        <v>15</v>
      </c>
      <c r="C319" s="63" t="s">
        <v>810</v>
      </c>
      <c r="D319" s="31" t="s">
        <v>811</v>
      </c>
      <c r="E319" s="35">
        <v>20</v>
      </c>
      <c r="F319" s="13">
        <v>20</v>
      </c>
      <c r="G319" s="60"/>
    </row>
    <row r="320" spans="1:7" ht="26.25" customHeight="1">
      <c r="A320" s="103"/>
      <c r="B320" s="23">
        <v>16</v>
      </c>
      <c r="C320" s="63" t="s">
        <v>208</v>
      </c>
      <c r="D320" s="31" t="s">
        <v>812</v>
      </c>
      <c r="E320" s="35">
        <v>200</v>
      </c>
      <c r="F320" s="13">
        <v>200</v>
      </c>
      <c r="G320" s="60"/>
    </row>
    <row r="321" spans="1:7" ht="26.25" customHeight="1">
      <c r="A321" s="103"/>
      <c r="B321" s="23">
        <v>17</v>
      </c>
      <c r="C321" s="63" t="s">
        <v>379</v>
      </c>
      <c r="D321" s="31" t="s">
        <v>813</v>
      </c>
      <c r="E321" s="35">
        <v>75</v>
      </c>
      <c r="F321" s="13">
        <v>75</v>
      </c>
      <c r="G321" s="60"/>
    </row>
    <row r="322" spans="1:7" ht="26.25" customHeight="1">
      <c r="A322" s="103"/>
      <c r="B322" s="23">
        <v>18</v>
      </c>
      <c r="C322" s="63" t="s">
        <v>90</v>
      </c>
      <c r="D322" s="31" t="s">
        <v>815</v>
      </c>
      <c r="E322" s="35">
        <v>150</v>
      </c>
      <c r="F322" s="13">
        <v>150</v>
      </c>
      <c r="G322" s="60"/>
    </row>
    <row r="323" spans="1:7" ht="26.25" customHeight="1">
      <c r="A323" s="103"/>
      <c r="B323" s="23">
        <v>19</v>
      </c>
      <c r="C323" s="63" t="s">
        <v>71</v>
      </c>
      <c r="D323" s="31" t="s">
        <v>816</v>
      </c>
      <c r="E323" s="35">
        <v>126</v>
      </c>
      <c r="F323" s="13">
        <v>126</v>
      </c>
      <c r="G323" s="60"/>
    </row>
    <row r="324" spans="1:7" ht="26.25" customHeight="1">
      <c r="A324" s="103"/>
      <c r="B324" s="23">
        <v>20</v>
      </c>
      <c r="C324" s="63" t="s">
        <v>256</v>
      </c>
      <c r="D324" s="31" t="s">
        <v>817</v>
      </c>
      <c r="E324" s="35">
        <v>75</v>
      </c>
      <c r="F324" s="13">
        <v>75</v>
      </c>
      <c r="G324" s="60"/>
    </row>
    <row r="325" spans="1:7" ht="26.25" customHeight="1">
      <c r="A325" s="103"/>
      <c r="B325" s="23">
        <f t="shared" ref="B325:B355" si="8">B324+1</f>
        <v>21</v>
      </c>
      <c r="C325" s="63" t="s">
        <v>86</v>
      </c>
      <c r="D325" s="31" t="s">
        <v>818</v>
      </c>
      <c r="E325" s="35">
        <v>60</v>
      </c>
      <c r="F325" s="13">
        <v>60</v>
      </c>
      <c r="G325" s="60"/>
    </row>
    <row r="326" spans="1:7" ht="26.25" customHeight="1">
      <c r="A326" s="103"/>
      <c r="B326" s="23">
        <f t="shared" si="8"/>
        <v>22</v>
      </c>
      <c r="C326" s="63" t="s">
        <v>82</v>
      </c>
      <c r="D326" s="31" t="s">
        <v>821</v>
      </c>
      <c r="E326" s="35">
        <v>126</v>
      </c>
      <c r="F326" s="13">
        <v>126</v>
      </c>
      <c r="G326" s="60"/>
    </row>
    <row r="327" spans="1:7" ht="26.25" customHeight="1">
      <c r="A327" s="103"/>
      <c r="B327" s="23">
        <f t="shared" si="8"/>
        <v>23</v>
      </c>
      <c r="C327" s="63" t="s">
        <v>362</v>
      </c>
      <c r="D327" s="31" t="s">
        <v>822</v>
      </c>
      <c r="E327" s="35">
        <v>130</v>
      </c>
      <c r="F327" s="138">
        <v>130</v>
      </c>
      <c r="G327" s="60"/>
    </row>
    <row r="328" spans="1:7" ht="26.25" customHeight="1">
      <c r="A328" s="103"/>
      <c r="B328" s="23">
        <f t="shared" si="8"/>
        <v>24</v>
      </c>
      <c r="C328" s="63" t="s">
        <v>261</v>
      </c>
      <c r="D328" s="31" t="s">
        <v>823</v>
      </c>
      <c r="E328" s="35">
        <v>150</v>
      </c>
      <c r="F328" s="13">
        <v>150</v>
      </c>
      <c r="G328" s="60"/>
    </row>
    <row r="329" spans="1:7" ht="26.25" customHeight="1">
      <c r="A329" s="103"/>
      <c r="B329" s="23">
        <f t="shared" si="8"/>
        <v>25</v>
      </c>
      <c r="C329" s="63" t="s">
        <v>108</v>
      </c>
      <c r="D329" s="31" t="s">
        <v>826</v>
      </c>
      <c r="E329" s="35">
        <v>180</v>
      </c>
      <c r="F329" s="13">
        <v>180</v>
      </c>
      <c r="G329" s="60"/>
    </row>
    <row r="330" spans="1:7" ht="26.25" customHeight="1">
      <c r="A330" s="103"/>
      <c r="B330" s="23">
        <f t="shared" si="8"/>
        <v>26</v>
      </c>
      <c r="C330" s="63" t="s">
        <v>110</v>
      </c>
      <c r="D330" s="31" t="s">
        <v>830</v>
      </c>
      <c r="E330" s="35">
        <v>120</v>
      </c>
      <c r="F330" s="139"/>
      <c r="G330" s="32" t="s">
        <v>834</v>
      </c>
    </row>
    <row r="331" spans="1:7" ht="26.25" customHeight="1">
      <c r="A331" s="103"/>
      <c r="B331" s="23">
        <f t="shared" si="8"/>
        <v>27</v>
      </c>
      <c r="C331" s="63" t="s">
        <v>120</v>
      </c>
      <c r="D331" s="31" t="s">
        <v>836</v>
      </c>
      <c r="E331" s="35">
        <v>70</v>
      </c>
      <c r="F331" s="13">
        <v>70</v>
      </c>
      <c r="G331" s="60"/>
    </row>
    <row r="332" spans="1:7" ht="26.25" customHeight="1">
      <c r="A332" s="103"/>
      <c r="B332" s="23">
        <f t="shared" si="8"/>
        <v>28</v>
      </c>
      <c r="C332" s="63" t="s">
        <v>17</v>
      </c>
      <c r="D332" s="31" t="s">
        <v>838</v>
      </c>
      <c r="E332" s="35">
        <v>85</v>
      </c>
      <c r="F332" s="13">
        <v>85</v>
      </c>
      <c r="G332" s="60"/>
    </row>
    <row r="333" spans="1:7" ht="26.25" customHeight="1">
      <c r="A333" s="103"/>
      <c r="B333" s="23">
        <f t="shared" si="8"/>
        <v>29</v>
      </c>
      <c r="C333" s="63" t="s">
        <v>552</v>
      </c>
      <c r="D333" s="31" t="s">
        <v>843</v>
      </c>
      <c r="E333" s="35">
        <v>100</v>
      </c>
      <c r="F333" s="13">
        <v>100</v>
      </c>
      <c r="G333" s="60"/>
    </row>
    <row r="334" spans="1:7" ht="26.25" customHeight="1">
      <c r="A334" s="103"/>
      <c r="B334" s="23">
        <f t="shared" si="8"/>
        <v>30</v>
      </c>
      <c r="C334" s="63" t="s">
        <v>16</v>
      </c>
      <c r="D334" s="31" t="s">
        <v>847</v>
      </c>
      <c r="E334" s="35">
        <v>120</v>
      </c>
      <c r="F334" s="13">
        <v>120</v>
      </c>
      <c r="G334" s="60"/>
    </row>
    <row r="335" spans="1:7" ht="26.25" customHeight="1">
      <c r="A335" s="103"/>
      <c r="B335" s="23">
        <f t="shared" si="8"/>
        <v>31</v>
      </c>
      <c r="C335" s="63" t="s">
        <v>124</v>
      </c>
      <c r="D335" s="31" t="s">
        <v>853</v>
      </c>
      <c r="E335" s="35">
        <v>150</v>
      </c>
      <c r="F335" s="13">
        <v>100</v>
      </c>
      <c r="G335" s="32" t="s">
        <v>856</v>
      </c>
    </row>
    <row r="336" spans="1:7" ht="26.25" customHeight="1">
      <c r="A336" s="103"/>
      <c r="B336" s="23">
        <f t="shared" si="8"/>
        <v>32</v>
      </c>
      <c r="C336" s="63" t="s">
        <v>559</v>
      </c>
      <c r="D336" s="31" t="s">
        <v>858</v>
      </c>
      <c r="E336" s="35">
        <v>100</v>
      </c>
      <c r="F336" s="13">
        <v>100</v>
      </c>
      <c r="G336" s="60"/>
    </row>
    <row r="337" spans="1:7" ht="26.25" customHeight="1">
      <c r="A337" s="111"/>
      <c r="B337" s="23">
        <f t="shared" si="8"/>
        <v>33</v>
      </c>
      <c r="C337" s="63" t="s">
        <v>861</v>
      </c>
      <c r="D337" s="31" t="s">
        <v>862</v>
      </c>
      <c r="E337" s="35">
        <v>90</v>
      </c>
      <c r="F337" s="139"/>
      <c r="G337" s="60"/>
    </row>
    <row r="338" spans="1:7" ht="26.25" customHeight="1">
      <c r="B338" s="23">
        <f t="shared" si="8"/>
        <v>34</v>
      </c>
      <c r="C338" s="63" t="s">
        <v>492</v>
      </c>
      <c r="D338" s="31" t="s">
        <v>865</v>
      </c>
      <c r="E338" s="35">
        <v>100</v>
      </c>
      <c r="F338" s="13">
        <v>100</v>
      </c>
      <c r="G338" s="60"/>
    </row>
    <row r="339" spans="1:7" ht="26.25" customHeight="1">
      <c r="B339" s="23">
        <f t="shared" si="8"/>
        <v>35</v>
      </c>
      <c r="C339" s="63" t="s">
        <v>870</v>
      </c>
      <c r="D339" s="31" t="s">
        <v>871</v>
      </c>
      <c r="E339" s="35">
        <v>100</v>
      </c>
      <c r="F339" s="13">
        <v>100</v>
      </c>
      <c r="G339" s="32" t="s">
        <v>872</v>
      </c>
    </row>
    <row r="340" spans="1:7" ht="26.25" customHeight="1">
      <c r="B340" s="23">
        <f t="shared" si="8"/>
        <v>36</v>
      </c>
      <c r="C340" s="63" t="s">
        <v>411</v>
      </c>
      <c r="D340" s="31" t="s">
        <v>876</v>
      </c>
      <c r="E340" s="35">
        <v>75</v>
      </c>
      <c r="F340" s="13">
        <v>75</v>
      </c>
      <c r="G340" s="32"/>
    </row>
    <row r="341" spans="1:7" ht="26.25" customHeight="1">
      <c r="B341" s="23">
        <f t="shared" si="8"/>
        <v>37</v>
      </c>
      <c r="C341" s="63" t="s">
        <v>127</v>
      </c>
      <c r="D341" s="31" t="s">
        <v>879</v>
      </c>
      <c r="E341" s="35">
        <v>300</v>
      </c>
      <c r="F341" s="13">
        <v>300</v>
      </c>
      <c r="G341" s="32"/>
    </row>
    <row r="342" spans="1:7" ht="26.25" customHeight="1">
      <c r="B342" s="23">
        <f t="shared" si="8"/>
        <v>38</v>
      </c>
      <c r="C342" s="63" t="s">
        <v>128</v>
      </c>
      <c r="D342" s="31" t="s">
        <v>881</v>
      </c>
      <c r="E342" s="35">
        <v>160</v>
      </c>
      <c r="F342" s="13">
        <v>160</v>
      </c>
      <c r="G342" s="32"/>
    </row>
    <row r="343" spans="1:7" ht="26.25" customHeight="1">
      <c r="B343" s="23">
        <f t="shared" si="8"/>
        <v>39</v>
      </c>
      <c r="C343" s="63" t="s">
        <v>391</v>
      </c>
      <c r="D343" s="31" t="s">
        <v>884</v>
      </c>
      <c r="E343" s="35">
        <v>100</v>
      </c>
      <c r="F343" s="13">
        <v>100</v>
      </c>
      <c r="G343" s="32"/>
    </row>
    <row r="344" spans="1:7" ht="26.25" customHeight="1">
      <c r="B344" s="23">
        <f t="shared" si="8"/>
        <v>40</v>
      </c>
      <c r="C344" s="63" t="s">
        <v>648</v>
      </c>
      <c r="D344" s="31" t="s">
        <v>886</v>
      </c>
      <c r="E344" s="35">
        <v>25</v>
      </c>
      <c r="F344" s="13">
        <v>25</v>
      </c>
      <c r="G344" s="32"/>
    </row>
    <row r="345" spans="1:7" ht="26.25" customHeight="1">
      <c r="B345" s="23">
        <f t="shared" si="8"/>
        <v>41</v>
      </c>
      <c r="C345" s="63" t="s">
        <v>129</v>
      </c>
      <c r="D345" s="31" t="s">
        <v>888</v>
      </c>
      <c r="E345" s="35">
        <v>120</v>
      </c>
      <c r="F345" s="13">
        <v>120</v>
      </c>
      <c r="G345" s="32"/>
    </row>
    <row r="346" spans="1:7" ht="26.25" customHeight="1">
      <c r="B346" s="23">
        <f t="shared" si="8"/>
        <v>42</v>
      </c>
      <c r="C346" s="63" t="s">
        <v>395</v>
      </c>
      <c r="D346" s="31" t="s">
        <v>891</v>
      </c>
      <c r="E346" s="35">
        <v>100</v>
      </c>
      <c r="F346" s="13">
        <v>100</v>
      </c>
      <c r="G346" s="32"/>
    </row>
    <row r="347" spans="1:7" ht="26.25" customHeight="1">
      <c r="B347" s="23">
        <f t="shared" si="8"/>
        <v>43</v>
      </c>
      <c r="C347" s="19" t="s">
        <v>213</v>
      </c>
      <c r="D347" s="31" t="s">
        <v>894</v>
      </c>
      <c r="E347" s="32">
        <v>100</v>
      </c>
      <c r="F347" s="13">
        <v>100</v>
      </c>
      <c r="G347" s="32"/>
    </row>
    <row r="348" spans="1:7" ht="26.25" customHeight="1">
      <c r="B348" s="23">
        <f t="shared" si="8"/>
        <v>44</v>
      </c>
      <c r="C348" s="19" t="s">
        <v>896</v>
      </c>
      <c r="D348" s="31" t="s">
        <v>897</v>
      </c>
      <c r="E348" s="32">
        <v>200</v>
      </c>
      <c r="F348" s="13">
        <v>200</v>
      </c>
      <c r="G348" s="32"/>
    </row>
    <row r="349" spans="1:7" ht="26.25" customHeight="1">
      <c r="B349" s="23">
        <f t="shared" si="8"/>
        <v>45</v>
      </c>
      <c r="C349" s="19" t="s">
        <v>67</v>
      </c>
      <c r="D349" s="31" t="s">
        <v>900</v>
      </c>
      <c r="E349" s="32">
        <v>100</v>
      </c>
      <c r="F349" s="13">
        <v>100</v>
      </c>
      <c r="G349" s="32"/>
    </row>
    <row r="350" spans="1:7" ht="26.25" customHeight="1">
      <c r="B350" s="23">
        <f t="shared" si="8"/>
        <v>46</v>
      </c>
      <c r="C350" s="19" t="s">
        <v>294</v>
      </c>
      <c r="D350" s="31" t="s">
        <v>901</v>
      </c>
      <c r="E350" s="32">
        <v>60</v>
      </c>
      <c r="F350" s="13">
        <v>60</v>
      </c>
      <c r="G350" s="32"/>
    </row>
    <row r="351" spans="1:7" ht="26.25" customHeight="1">
      <c r="B351" s="23">
        <f t="shared" si="8"/>
        <v>47</v>
      </c>
      <c r="C351" s="19" t="s">
        <v>26</v>
      </c>
      <c r="D351" s="31" t="s">
        <v>902</v>
      </c>
      <c r="E351" s="32">
        <v>50</v>
      </c>
      <c r="F351" s="13">
        <v>50</v>
      </c>
      <c r="G351" s="32"/>
    </row>
    <row r="352" spans="1:7" ht="26.25" customHeight="1">
      <c r="B352" s="23">
        <f t="shared" si="8"/>
        <v>48</v>
      </c>
      <c r="C352" s="19" t="s">
        <v>903</v>
      </c>
      <c r="D352" s="31" t="s">
        <v>904</v>
      </c>
      <c r="E352" s="32">
        <v>75</v>
      </c>
      <c r="F352" s="13">
        <v>75</v>
      </c>
      <c r="G352" s="32"/>
    </row>
    <row r="353" spans="2:10" ht="26.25" customHeight="1">
      <c r="B353" s="23">
        <f t="shared" si="8"/>
        <v>49</v>
      </c>
      <c r="C353" s="19" t="s">
        <v>905</v>
      </c>
      <c r="D353" s="31" t="s">
        <v>906</v>
      </c>
      <c r="E353" s="32">
        <v>100</v>
      </c>
      <c r="F353" s="13">
        <v>100</v>
      </c>
      <c r="G353" s="32"/>
    </row>
    <row r="354" spans="2:10" ht="26.25" customHeight="1">
      <c r="B354" s="23">
        <f t="shared" si="8"/>
        <v>50</v>
      </c>
      <c r="C354" s="19" t="s">
        <v>907</v>
      </c>
      <c r="D354" s="31" t="s">
        <v>908</v>
      </c>
      <c r="E354" s="32"/>
      <c r="F354" s="13"/>
      <c r="G354" s="32" t="s">
        <v>909</v>
      </c>
    </row>
    <row r="355" spans="2:10" ht="26.25" customHeight="1">
      <c r="B355" s="23">
        <f t="shared" si="8"/>
        <v>51</v>
      </c>
      <c r="C355" s="19" t="s">
        <v>297</v>
      </c>
      <c r="D355" s="31" t="s">
        <v>910</v>
      </c>
      <c r="E355" s="32">
        <v>100</v>
      </c>
      <c r="F355" s="13">
        <v>100</v>
      </c>
      <c r="G355" s="60"/>
    </row>
    <row r="356" spans="2:10" ht="26.25" customHeight="1">
      <c r="B356" s="58"/>
      <c r="C356" s="58"/>
      <c r="D356" s="58"/>
      <c r="E356" s="60"/>
      <c r="F356" s="139"/>
      <c r="G356" s="60"/>
    </row>
    <row r="357" spans="2:10" ht="26.25" customHeight="1">
      <c r="B357" s="58"/>
      <c r="C357" s="58"/>
      <c r="D357" s="58"/>
      <c r="E357" s="60"/>
      <c r="F357" s="139"/>
      <c r="G357" s="60"/>
    </row>
    <row r="358" spans="2:10" ht="26.25" customHeight="1">
      <c r="B358" s="85"/>
      <c r="C358" s="85"/>
      <c r="D358" s="85"/>
      <c r="E358" s="86">
        <f t="shared" ref="E358:F358" si="9">SUM(E304:E357)</f>
        <v>5519</v>
      </c>
      <c r="F358" s="86">
        <f t="shared" si="9"/>
        <v>5259</v>
      </c>
      <c r="G358" s="86">
        <f>E358-F358</f>
        <v>260</v>
      </c>
    </row>
    <row r="359" spans="2:10" ht="26.25" customHeight="1">
      <c r="E359" s="140"/>
      <c r="F359" s="140"/>
      <c r="G359" s="140"/>
    </row>
    <row r="360" spans="2:10" ht="26.25" customHeight="1">
      <c r="B360" s="191" t="s">
        <v>912</v>
      </c>
      <c r="C360" s="192"/>
      <c r="D360" s="192"/>
      <c r="E360" s="192"/>
      <c r="F360" s="192"/>
      <c r="G360" s="193"/>
    </row>
    <row r="361" spans="2:10" ht="26.25" customHeight="1">
      <c r="B361" s="194" t="s">
        <v>1</v>
      </c>
      <c r="C361" s="196" t="s">
        <v>2</v>
      </c>
      <c r="D361" s="198" t="s">
        <v>4</v>
      </c>
      <c r="E361" s="200" t="s">
        <v>5</v>
      </c>
      <c r="F361" s="202" t="s">
        <v>6</v>
      </c>
      <c r="G361" s="203" t="s">
        <v>7</v>
      </c>
    </row>
    <row r="362" spans="2:10" ht="26.25" customHeight="1">
      <c r="B362" s="195"/>
      <c r="C362" s="197"/>
      <c r="D362" s="199"/>
      <c r="E362" s="201"/>
      <c r="F362" s="195"/>
      <c r="G362" s="197"/>
    </row>
    <row r="363" spans="2:10" ht="26.25" customHeight="1">
      <c r="B363" s="58"/>
      <c r="C363" s="59" t="s">
        <v>921</v>
      </c>
      <c r="D363" s="58"/>
      <c r="E363" s="60"/>
      <c r="F363" s="60"/>
      <c r="G363" s="60"/>
    </row>
    <row r="364" spans="2:10" ht="26.25" customHeight="1">
      <c r="B364" s="23">
        <v>1</v>
      </c>
      <c r="C364" s="63" t="s">
        <v>923</v>
      </c>
      <c r="D364" s="31" t="s">
        <v>924</v>
      </c>
      <c r="E364" s="35">
        <v>100</v>
      </c>
      <c r="F364" s="13">
        <v>100</v>
      </c>
      <c r="G364" s="60"/>
    </row>
    <row r="365" spans="2:10" ht="26.25" customHeight="1">
      <c r="B365" s="23">
        <v>2</v>
      </c>
      <c r="C365" s="63" t="s">
        <v>926</v>
      </c>
      <c r="D365" s="31" t="s">
        <v>927</v>
      </c>
      <c r="E365" s="35">
        <v>40</v>
      </c>
      <c r="F365" s="13">
        <v>40</v>
      </c>
      <c r="G365" s="60"/>
    </row>
    <row r="366" spans="2:10" ht="26.25" customHeight="1">
      <c r="B366" s="23">
        <v>3</v>
      </c>
      <c r="C366" s="63" t="s">
        <v>928</v>
      </c>
      <c r="D366" s="31" t="s">
        <v>929</v>
      </c>
      <c r="E366" s="35">
        <v>25</v>
      </c>
      <c r="F366" s="13">
        <v>25</v>
      </c>
      <c r="G366" s="60"/>
      <c r="I366" s="144"/>
      <c r="J366" s="144"/>
    </row>
    <row r="367" spans="2:10" ht="26.25" customHeight="1">
      <c r="B367" s="23">
        <v>4</v>
      </c>
      <c r="C367" s="63" t="s">
        <v>71</v>
      </c>
      <c r="D367" s="31" t="s">
        <v>932</v>
      </c>
      <c r="E367" s="35">
        <v>126</v>
      </c>
      <c r="F367" s="13">
        <v>126</v>
      </c>
      <c r="G367" s="60"/>
      <c r="I367" s="144"/>
      <c r="J367" s="144"/>
    </row>
    <row r="368" spans="2:10" ht="26.25" customHeight="1">
      <c r="B368" s="23">
        <v>5</v>
      </c>
      <c r="C368" s="63" t="s">
        <v>86</v>
      </c>
      <c r="D368" s="31" t="s">
        <v>934</v>
      </c>
      <c r="E368" s="35">
        <v>60</v>
      </c>
      <c r="F368" s="13">
        <v>60</v>
      </c>
      <c r="G368" s="60"/>
    </row>
    <row r="369" spans="2:7" ht="26.25" customHeight="1">
      <c r="B369" s="23">
        <v>6</v>
      </c>
      <c r="C369" s="63" t="s">
        <v>82</v>
      </c>
      <c r="D369" s="31" t="s">
        <v>936</v>
      </c>
      <c r="E369" s="35">
        <v>126</v>
      </c>
      <c r="F369" s="13">
        <v>126</v>
      </c>
      <c r="G369" s="60"/>
    </row>
    <row r="370" spans="2:7" ht="26.25" customHeight="1">
      <c r="B370" s="23">
        <v>7</v>
      </c>
      <c r="C370" s="63" t="s">
        <v>543</v>
      </c>
      <c r="D370" s="31" t="s">
        <v>937</v>
      </c>
      <c r="E370" s="35">
        <v>80</v>
      </c>
      <c r="F370" s="13">
        <v>80</v>
      </c>
      <c r="G370" s="60"/>
    </row>
    <row r="371" spans="2:7" ht="26.25" customHeight="1">
      <c r="B371" s="23">
        <v>8</v>
      </c>
      <c r="C371" s="63" t="s">
        <v>261</v>
      </c>
      <c r="D371" s="31" t="s">
        <v>939</v>
      </c>
      <c r="E371" s="35">
        <v>150</v>
      </c>
      <c r="F371" s="13">
        <v>150</v>
      </c>
      <c r="G371" s="60"/>
    </row>
    <row r="372" spans="2:7" ht="26.25" customHeight="1">
      <c r="B372" s="23">
        <v>9</v>
      </c>
      <c r="C372" s="63" t="s">
        <v>120</v>
      </c>
      <c r="D372" s="31" t="s">
        <v>941</v>
      </c>
      <c r="E372" s="35">
        <v>70</v>
      </c>
      <c r="F372" s="13">
        <v>70</v>
      </c>
      <c r="G372" s="60"/>
    </row>
    <row r="373" spans="2:7" ht="26.25" customHeight="1">
      <c r="B373" s="23">
        <v>10</v>
      </c>
      <c r="C373" s="63" t="s">
        <v>17</v>
      </c>
      <c r="D373" s="31" t="s">
        <v>943</v>
      </c>
      <c r="E373" s="35">
        <v>85</v>
      </c>
      <c r="F373" s="13">
        <v>85</v>
      </c>
      <c r="G373" s="60"/>
    </row>
    <row r="374" spans="2:7" ht="26.25" customHeight="1">
      <c r="B374" s="23">
        <v>11</v>
      </c>
      <c r="C374" s="63" t="s">
        <v>945</v>
      </c>
      <c r="D374" s="31" t="s">
        <v>946</v>
      </c>
      <c r="E374" s="35">
        <v>120</v>
      </c>
      <c r="F374" s="13"/>
      <c r="G374" s="60"/>
    </row>
    <row r="375" spans="2:7" ht="26.25" customHeight="1">
      <c r="B375" s="23">
        <v>12</v>
      </c>
      <c r="C375" s="63" t="s">
        <v>948</v>
      </c>
      <c r="D375" s="31" t="s">
        <v>949</v>
      </c>
      <c r="E375" s="35">
        <v>120</v>
      </c>
      <c r="F375" s="13">
        <f>E375</f>
        <v>120</v>
      </c>
      <c r="G375" s="60"/>
    </row>
    <row r="376" spans="2:7" ht="26.25" customHeight="1">
      <c r="B376" s="23">
        <v>13</v>
      </c>
      <c r="C376" s="63" t="s">
        <v>279</v>
      </c>
      <c r="D376" s="31" t="s">
        <v>954</v>
      </c>
      <c r="E376" s="35">
        <v>200</v>
      </c>
      <c r="F376" s="13">
        <v>200</v>
      </c>
      <c r="G376" s="60"/>
    </row>
    <row r="377" spans="2:7" ht="26.25" customHeight="1">
      <c r="B377" s="23">
        <v>14</v>
      </c>
      <c r="C377" s="63" t="s">
        <v>124</v>
      </c>
      <c r="D377" s="31" t="s">
        <v>956</v>
      </c>
      <c r="E377" s="35">
        <v>100</v>
      </c>
      <c r="F377" s="13">
        <v>100</v>
      </c>
      <c r="G377" s="60"/>
    </row>
    <row r="378" spans="2:7" ht="26.25" customHeight="1">
      <c r="B378" s="23">
        <v>15</v>
      </c>
      <c r="C378" s="63" t="s">
        <v>71</v>
      </c>
      <c r="D378" s="31" t="s">
        <v>959</v>
      </c>
      <c r="E378" s="35">
        <v>240</v>
      </c>
      <c r="F378" s="13">
        <v>240</v>
      </c>
      <c r="G378" s="60"/>
    </row>
    <row r="379" spans="2:7" ht="26.25" customHeight="1">
      <c r="B379" s="23">
        <v>16</v>
      </c>
      <c r="C379" s="63" t="s">
        <v>861</v>
      </c>
      <c r="D379" s="31" t="s">
        <v>960</v>
      </c>
      <c r="E379" s="35">
        <v>90</v>
      </c>
      <c r="F379" s="13"/>
      <c r="G379" s="60"/>
    </row>
    <row r="380" spans="2:7" ht="26.25" customHeight="1">
      <c r="B380" s="23">
        <v>17</v>
      </c>
      <c r="C380" s="63" t="s">
        <v>961</v>
      </c>
      <c r="D380" s="31" t="s">
        <v>962</v>
      </c>
      <c r="E380" s="35">
        <v>100</v>
      </c>
      <c r="F380" s="13">
        <v>100</v>
      </c>
      <c r="G380" s="60"/>
    </row>
    <row r="381" spans="2:7" ht="26.25" customHeight="1">
      <c r="B381" s="23">
        <v>18</v>
      </c>
      <c r="C381" s="63" t="s">
        <v>127</v>
      </c>
      <c r="D381" s="31" t="s">
        <v>963</v>
      </c>
      <c r="E381" s="35">
        <v>300</v>
      </c>
      <c r="F381" s="13">
        <v>300</v>
      </c>
      <c r="G381" s="60"/>
    </row>
    <row r="382" spans="2:7" ht="26.25" customHeight="1">
      <c r="B382" s="23">
        <v>19</v>
      </c>
      <c r="C382" s="63" t="s">
        <v>286</v>
      </c>
      <c r="D382" s="31" t="s">
        <v>964</v>
      </c>
      <c r="E382" s="35">
        <v>160</v>
      </c>
      <c r="F382" s="13">
        <v>160</v>
      </c>
      <c r="G382" s="60"/>
    </row>
    <row r="383" spans="2:7" ht="26.25" customHeight="1">
      <c r="B383" s="23">
        <v>20</v>
      </c>
      <c r="C383" s="63" t="s">
        <v>81</v>
      </c>
      <c r="D383" s="31" t="s">
        <v>965</v>
      </c>
      <c r="E383" s="35">
        <v>100</v>
      </c>
      <c r="F383" s="13">
        <v>100</v>
      </c>
      <c r="G383" s="60"/>
    </row>
    <row r="384" spans="2:7" ht="26.25" customHeight="1">
      <c r="B384" s="23">
        <f t="shared" ref="B384:B392" si="10">B383+1</f>
        <v>21</v>
      </c>
      <c r="C384" s="63" t="s">
        <v>134</v>
      </c>
      <c r="D384" s="31" t="s">
        <v>966</v>
      </c>
      <c r="E384" s="35">
        <v>120</v>
      </c>
      <c r="F384" s="13">
        <v>120</v>
      </c>
      <c r="G384" s="60"/>
    </row>
    <row r="385" spans="2:7" ht="26.25" customHeight="1">
      <c r="B385" s="23">
        <f t="shared" si="10"/>
        <v>22</v>
      </c>
      <c r="C385" s="63" t="s">
        <v>406</v>
      </c>
      <c r="D385" s="31" t="s">
        <v>968</v>
      </c>
      <c r="E385" s="35">
        <v>100</v>
      </c>
      <c r="F385" s="13">
        <v>100</v>
      </c>
      <c r="G385" s="60"/>
    </row>
    <row r="386" spans="2:7" ht="26.25" customHeight="1">
      <c r="B386" s="23">
        <f t="shared" si="10"/>
        <v>23</v>
      </c>
      <c r="C386" s="63" t="s">
        <v>290</v>
      </c>
      <c r="D386" s="31" t="s">
        <v>970</v>
      </c>
      <c r="E386" s="35">
        <v>100</v>
      </c>
      <c r="F386" s="13">
        <v>100</v>
      </c>
      <c r="G386" s="60"/>
    </row>
    <row r="387" spans="2:7" ht="26.25" customHeight="1">
      <c r="B387" s="23">
        <f t="shared" si="10"/>
        <v>24</v>
      </c>
      <c r="C387" s="63" t="s">
        <v>971</v>
      </c>
      <c r="D387" s="31" t="s">
        <v>972</v>
      </c>
      <c r="E387" s="35">
        <v>100</v>
      </c>
      <c r="F387" s="13">
        <v>100</v>
      </c>
      <c r="G387" s="60"/>
    </row>
    <row r="388" spans="2:7" ht="26.25" customHeight="1">
      <c r="B388" s="23">
        <f t="shared" si="10"/>
        <v>25</v>
      </c>
      <c r="C388" s="63" t="s">
        <v>293</v>
      </c>
      <c r="D388" s="31" t="s">
        <v>973</v>
      </c>
      <c r="E388" s="35">
        <v>100</v>
      </c>
      <c r="F388" s="13">
        <v>100</v>
      </c>
      <c r="G388" s="60"/>
    </row>
    <row r="389" spans="2:7" ht="26.25" customHeight="1">
      <c r="B389" s="23">
        <f t="shared" si="10"/>
        <v>26</v>
      </c>
      <c r="C389" s="63" t="s">
        <v>298</v>
      </c>
      <c r="D389" s="31" t="s">
        <v>975</v>
      </c>
      <c r="E389" s="35">
        <v>100</v>
      </c>
      <c r="F389" s="13">
        <v>100</v>
      </c>
      <c r="G389" s="60"/>
    </row>
    <row r="390" spans="2:7" ht="26.25" customHeight="1">
      <c r="B390" s="23">
        <f t="shared" si="10"/>
        <v>27</v>
      </c>
      <c r="C390" s="63" t="s">
        <v>519</v>
      </c>
      <c r="D390" s="31" t="s">
        <v>976</v>
      </c>
      <c r="E390" s="35">
        <v>100</v>
      </c>
      <c r="F390" s="13">
        <v>100</v>
      </c>
      <c r="G390" s="60"/>
    </row>
    <row r="391" spans="2:7" ht="26.25" customHeight="1">
      <c r="B391" s="23">
        <f t="shared" si="10"/>
        <v>28</v>
      </c>
      <c r="C391" s="63" t="s">
        <v>977</v>
      </c>
      <c r="D391" s="31" t="s">
        <v>978</v>
      </c>
      <c r="E391" s="35">
        <v>100</v>
      </c>
      <c r="F391" s="13">
        <v>100</v>
      </c>
      <c r="G391" s="60"/>
    </row>
    <row r="392" spans="2:7" ht="26.25" customHeight="1">
      <c r="B392" s="23">
        <f t="shared" si="10"/>
        <v>29</v>
      </c>
      <c r="C392" s="63" t="s">
        <v>303</v>
      </c>
      <c r="D392" s="31" t="s">
        <v>979</v>
      </c>
      <c r="E392" s="35">
        <v>100</v>
      </c>
      <c r="F392" s="13">
        <v>100</v>
      </c>
      <c r="G392" s="60"/>
    </row>
    <row r="393" spans="2:7" ht="26.25" customHeight="1">
      <c r="B393" s="58"/>
      <c r="C393" s="58"/>
      <c r="D393" s="58"/>
      <c r="E393" s="60"/>
      <c r="F393" s="60"/>
      <c r="G393" s="60"/>
    </row>
    <row r="394" spans="2:7" ht="26.25" customHeight="1">
      <c r="B394" s="85"/>
      <c r="C394" s="85"/>
      <c r="D394" s="85"/>
      <c r="E394" s="86">
        <f t="shared" ref="E394:F394" si="11">SUM(E363:E393)</f>
        <v>3312</v>
      </c>
      <c r="F394" s="86">
        <f t="shared" si="11"/>
        <v>3102</v>
      </c>
      <c r="G394" s="86">
        <f>E394-F394</f>
        <v>210</v>
      </c>
    </row>
    <row r="395" spans="2:7" ht="26.25" customHeight="1">
      <c r="E395" s="140"/>
      <c r="F395" s="140"/>
      <c r="G395" s="140"/>
    </row>
    <row r="396" spans="2:7" ht="26.25" customHeight="1">
      <c r="B396" s="204" t="s">
        <v>984</v>
      </c>
      <c r="C396" s="192"/>
      <c r="D396" s="192"/>
      <c r="E396" s="192"/>
      <c r="F396" s="192"/>
      <c r="G396" s="193"/>
    </row>
    <row r="397" spans="2:7" ht="26.25" customHeight="1">
      <c r="B397" s="194" t="s">
        <v>1</v>
      </c>
      <c r="C397" s="196" t="s">
        <v>2</v>
      </c>
      <c r="D397" s="198" t="s">
        <v>4</v>
      </c>
      <c r="E397" s="200" t="s">
        <v>5</v>
      </c>
      <c r="F397" s="202" t="s">
        <v>6</v>
      </c>
      <c r="G397" s="203" t="s">
        <v>7</v>
      </c>
    </row>
    <row r="398" spans="2:7" ht="26.25" customHeight="1">
      <c r="B398" s="195"/>
      <c r="C398" s="197"/>
      <c r="D398" s="199"/>
      <c r="E398" s="201"/>
      <c r="F398" s="195"/>
      <c r="G398" s="197"/>
    </row>
    <row r="399" spans="2:7" ht="26.25" customHeight="1">
      <c r="B399" s="63"/>
      <c r="C399" s="151" t="s">
        <v>1003</v>
      </c>
      <c r="D399" s="63"/>
      <c r="E399" s="32"/>
      <c r="F399" s="32"/>
      <c r="G399" s="32"/>
    </row>
    <row r="400" spans="2:7" ht="26.25" customHeight="1">
      <c r="B400" s="23">
        <v>1</v>
      </c>
      <c r="C400" s="63" t="s">
        <v>1008</v>
      </c>
      <c r="D400" s="31" t="s">
        <v>1009</v>
      </c>
      <c r="E400" s="35">
        <v>75</v>
      </c>
      <c r="F400" s="119">
        <f t="shared" ref="F400:F403" si="12">E400</f>
        <v>75</v>
      </c>
      <c r="G400" s="32"/>
    </row>
    <row r="401" spans="2:10" ht="26.25" customHeight="1">
      <c r="B401" s="23">
        <v>2</v>
      </c>
      <c r="C401" s="63" t="s">
        <v>50</v>
      </c>
      <c r="D401" s="31" t="s">
        <v>1015</v>
      </c>
      <c r="E401" s="35">
        <v>30</v>
      </c>
      <c r="F401" s="119">
        <f t="shared" si="12"/>
        <v>30</v>
      </c>
      <c r="G401" s="32"/>
    </row>
    <row r="402" spans="2:10" ht="26.25" customHeight="1">
      <c r="B402" s="23">
        <v>3</v>
      </c>
      <c r="C402" s="63" t="s">
        <v>1018</v>
      </c>
      <c r="D402" s="31" t="s">
        <v>1019</v>
      </c>
      <c r="E402" s="35">
        <v>50</v>
      </c>
      <c r="F402" s="119">
        <f t="shared" si="12"/>
        <v>50</v>
      </c>
      <c r="G402" s="32"/>
    </row>
    <row r="403" spans="2:10" ht="26.25" customHeight="1">
      <c r="B403" s="23">
        <v>4</v>
      </c>
      <c r="C403" s="63" t="s">
        <v>70</v>
      </c>
      <c r="D403" s="31" t="s">
        <v>1022</v>
      </c>
      <c r="E403" s="35">
        <v>120</v>
      </c>
      <c r="F403" s="119">
        <f t="shared" si="12"/>
        <v>120</v>
      </c>
      <c r="G403" s="32"/>
      <c r="I403" s="152"/>
      <c r="J403" s="152"/>
    </row>
    <row r="404" spans="2:10" ht="26.25" customHeight="1">
      <c r="B404" s="23">
        <v>5</v>
      </c>
      <c r="C404" s="63" t="s">
        <v>1027</v>
      </c>
      <c r="D404" s="64" t="s">
        <v>1028</v>
      </c>
      <c r="E404" s="35">
        <v>30</v>
      </c>
      <c r="F404" s="119">
        <v>30</v>
      </c>
      <c r="G404" s="32"/>
      <c r="I404" s="152"/>
      <c r="J404" s="152"/>
    </row>
    <row r="405" spans="2:10" ht="26.25" customHeight="1">
      <c r="B405" s="23">
        <v>6</v>
      </c>
      <c r="C405" s="63" t="s">
        <v>90</v>
      </c>
      <c r="D405" s="64" t="s">
        <v>1032</v>
      </c>
      <c r="E405" s="35">
        <v>120</v>
      </c>
      <c r="F405" s="119">
        <f>E405</f>
        <v>120</v>
      </c>
      <c r="G405" s="32"/>
      <c r="I405" s="152"/>
      <c r="J405" s="152"/>
    </row>
    <row r="406" spans="2:10" ht="26.25" customHeight="1">
      <c r="B406" s="23">
        <v>7</v>
      </c>
      <c r="C406" s="63" t="s">
        <v>71</v>
      </c>
      <c r="D406" s="64" t="s">
        <v>1038</v>
      </c>
      <c r="E406" s="35">
        <v>126</v>
      </c>
      <c r="F406" s="119">
        <v>126</v>
      </c>
      <c r="G406" s="32"/>
    </row>
    <row r="407" spans="2:10" ht="26.25" customHeight="1">
      <c r="B407" s="23">
        <v>8</v>
      </c>
      <c r="C407" s="63" t="s">
        <v>86</v>
      </c>
      <c r="D407" s="64" t="s">
        <v>1040</v>
      </c>
      <c r="E407" s="35">
        <v>60</v>
      </c>
      <c r="F407" s="119">
        <v>60</v>
      </c>
      <c r="G407" s="32"/>
    </row>
    <row r="408" spans="2:10" ht="26.25" customHeight="1">
      <c r="B408" s="23">
        <v>9</v>
      </c>
      <c r="C408" s="63" t="s">
        <v>82</v>
      </c>
      <c r="D408" s="64" t="s">
        <v>1043</v>
      </c>
      <c r="E408" s="35">
        <v>126</v>
      </c>
      <c r="F408" s="119">
        <v>126</v>
      </c>
      <c r="G408" s="32"/>
    </row>
    <row r="409" spans="2:10" ht="26.25" customHeight="1">
      <c r="B409" s="23">
        <v>10</v>
      </c>
      <c r="C409" s="63" t="s">
        <v>108</v>
      </c>
      <c r="D409" s="64" t="s">
        <v>1045</v>
      </c>
      <c r="E409" s="35">
        <v>180</v>
      </c>
      <c r="F409" s="119">
        <v>180</v>
      </c>
      <c r="G409" s="32"/>
    </row>
    <row r="410" spans="2:10" ht="26.25" customHeight="1">
      <c r="B410" s="23">
        <v>11</v>
      </c>
      <c r="C410" s="63" t="s">
        <v>110</v>
      </c>
      <c r="D410" s="64" t="s">
        <v>1049</v>
      </c>
      <c r="E410" s="35">
        <v>120</v>
      </c>
      <c r="F410" s="119"/>
      <c r="G410" s="32"/>
    </row>
    <row r="411" spans="2:10" ht="26.25" customHeight="1">
      <c r="B411" s="23">
        <v>12</v>
      </c>
      <c r="C411" s="19" t="s">
        <v>120</v>
      </c>
      <c r="D411" s="64" t="s">
        <v>1052</v>
      </c>
      <c r="E411" s="32">
        <v>70</v>
      </c>
      <c r="F411" s="119">
        <v>70</v>
      </c>
      <c r="G411" s="32"/>
    </row>
    <row r="412" spans="2:10" ht="26.25" customHeight="1">
      <c r="B412" s="23">
        <v>13</v>
      </c>
      <c r="C412" s="19" t="s">
        <v>17</v>
      </c>
      <c r="D412" s="64" t="s">
        <v>1053</v>
      </c>
      <c r="E412" s="32">
        <v>85</v>
      </c>
      <c r="F412" s="119">
        <v>85</v>
      </c>
      <c r="G412" s="32"/>
    </row>
    <row r="413" spans="2:10" ht="26.25" customHeight="1">
      <c r="B413" s="23">
        <v>14</v>
      </c>
      <c r="C413" s="19" t="s">
        <v>945</v>
      </c>
      <c r="D413" s="64" t="s">
        <v>1054</v>
      </c>
      <c r="E413" s="32">
        <v>40</v>
      </c>
      <c r="F413" s="119"/>
      <c r="G413" s="32"/>
    </row>
    <row r="414" spans="2:10" ht="26.25" customHeight="1">
      <c r="B414" s="23">
        <v>15</v>
      </c>
      <c r="C414" s="19" t="s">
        <v>16</v>
      </c>
      <c r="D414" s="64" t="s">
        <v>1055</v>
      </c>
      <c r="E414" s="32">
        <v>120</v>
      </c>
      <c r="F414" s="119">
        <v>120</v>
      </c>
      <c r="G414" s="32"/>
    </row>
    <row r="415" spans="2:10" ht="26.25" customHeight="1">
      <c r="B415" s="23">
        <v>16</v>
      </c>
      <c r="C415" s="19" t="s">
        <v>554</v>
      </c>
      <c r="D415" s="64" t="s">
        <v>1056</v>
      </c>
      <c r="E415" s="32">
        <v>100</v>
      </c>
      <c r="F415" s="119">
        <v>100</v>
      </c>
      <c r="G415" s="32"/>
    </row>
    <row r="416" spans="2:10" ht="26.25" customHeight="1">
      <c r="B416" s="23">
        <v>17</v>
      </c>
      <c r="C416" s="19" t="s">
        <v>124</v>
      </c>
      <c r="D416" s="64" t="s">
        <v>1057</v>
      </c>
      <c r="E416" s="32">
        <v>100</v>
      </c>
      <c r="F416" s="119">
        <f>E416</f>
        <v>100</v>
      </c>
      <c r="G416" s="32"/>
    </row>
    <row r="417" spans="2:8" ht="26.25" customHeight="1">
      <c r="B417" s="23">
        <v>18</v>
      </c>
      <c r="C417" s="19" t="s">
        <v>861</v>
      </c>
      <c r="D417" s="64" t="s">
        <v>1060</v>
      </c>
      <c r="E417" s="32">
        <v>90</v>
      </c>
      <c r="F417" s="119"/>
      <c r="G417" s="32"/>
    </row>
    <row r="418" spans="2:8" ht="26.25" customHeight="1">
      <c r="B418" s="23">
        <v>19</v>
      </c>
      <c r="C418" s="19" t="s">
        <v>492</v>
      </c>
      <c r="D418" s="64" t="s">
        <v>1062</v>
      </c>
      <c r="E418" s="32">
        <v>100</v>
      </c>
      <c r="F418" s="119">
        <f>E418</f>
        <v>100</v>
      </c>
      <c r="G418" s="32"/>
    </row>
    <row r="419" spans="2:8" ht="26.25" customHeight="1">
      <c r="B419" s="23">
        <v>20</v>
      </c>
      <c r="C419" s="19" t="s">
        <v>285</v>
      </c>
      <c r="D419" s="64" t="s">
        <v>1064</v>
      </c>
      <c r="E419" s="32">
        <v>100</v>
      </c>
      <c r="F419" s="119">
        <v>100</v>
      </c>
      <c r="G419" s="32"/>
    </row>
    <row r="420" spans="2:8" ht="26.25" customHeight="1">
      <c r="B420" s="23">
        <f t="shared" ref="B420:B437" si="13">B419+1</f>
        <v>21</v>
      </c>
      <c r="C420" s="19" t="s">
        <v>242</v>
      </c>
      <c r="D420" s="64" t="s">
        <v>1065</v>
      </c>
      <c r="E420" s="32">
        <v>50</v>
      </c>
      <c r="F420" s="119">
        <v>50</v>
      </c>
      <c r="G420" s="32"/>
    </row>
    <row r="421" spans="2:8" ht="26.25" customHeight="1">
      <c r="B421" s="23">
        <f t="shared" si="13"/>
        <v>22</v>
      </c>
      <c r="C421" s="19" t="s">
        <v>127</v>
      </c>
      <c r="D421" s="64" t="s">
        <v>1066</v>
      </c>
      <c r="E421" s="32">
        <v>300</v>
      </c>
      <c r="F421" s="119">
        <v>300</v>
      </c>
      <c r="G421" s="32"/>
    </row>
    <row r="422" spans="2:8" ht="26.25" customHeight="1">
      <c r="B422" s="23">
        <f t="shared" si="13"/>
        <v>23</v>
      </c>
      <c r="C422" s="19" t="s">
        <v>128</v>
      </c>
      <c r="D422" s="64" t="s">
        <v>1068</v>
      </c>
      <c r="E422" s="32">
        <v>160</v>
      </c>
      <c r="F422" s="119">
        <v>160</v>
      </c>
      <c r="G422" s="32"/>
    </row>
    <row r="423" spans="2:8" ht="26.25" customHeight="1">
      <c r="B423" s="23">
        <f t="shared" si="13"/>
        <v>24</v>
      </c>
      <c r="C423" s="19" t="s">
        <v>528</v>
      </c>
      <c r="D423" s="64" t="s">
        <v>1071</v>
      </c>
      <c r="E423" s="32">
        <v>100</v>
      </c>
      <c r="F423" s="119">
        <v>100</v>
      </c>
      <c r="G423" s="32"/>
    </row>
    <row r="424" spans="2:8" ht="26.25" customHeight="1">
      <c r="B424" s="23">
        <f t="shared" si="13"/>
        <v>25</v>
      </c>
      <c r="C424" s="19" t="s">
        <v>727</v>
      </c>
      <c r="D424" s="64" t="s">
        <v>1072</v>
      </c>
      <c r="E424" s="32">
        <v>100</v>
      </c>
      <c r="F424" s="119">
        <v>100</v>
      </c>
      <c r="G424" s="32" t="s">
        <v>1073</v>
      </c>
    </row>
    <row r="425" spans="2:8" ht="26.25" customHeight="1">
      <c r="B425" s="23">
        <f t="shared" si="13"/>
        <v>26</v>
      </c>
      <c r="C425" s="19" t="s">
        <v>591</v>
      </c>
      <c r="D425" s="64" t="s">
        <v>1075</v>
      </c>
      <c r="E425" s="32">
        <v>100</v>
      </c>
      <c r="F425" s="119">
        <v>100</v>
      </c>
      <c r="G425" s="32"/>
    </row>
    <row r="426" spans="2:8" ht="26.25" customHeight="1">
      <c r="B426" s="23">
        <f t="shared" si="13"/>
        <v>27</v>
      </c>
      <c r="C426" s="19" t="s">
        <v>593</v>
      </c>
      <c r="D426" s="64" t="s">
        <v>1078</v>
      </c>
      <c r="E426" s="32">
        <v>50</v>
      </c>
      <c r="F426" s="119">
        <v>50</v>
      </c>
      <c r="G426" s="32"/>
    </row>
    <row r="427" spans="2:8" ht="26.25" customHeight="1">
      <c r="B427" s="23">
        <f t="shared" si="13"/>
        <v>28</v>
      </c>
      <c r="C427" s="19" t="s">
        <v>129</v>
      </c>
      <c r="D427" s="64" t="s">
        <v>1082</v>
      </c>
      <c r="E427" s="32">
        <v>120</v>
      </c>
      <c r="F427" s="119">
        <f>E427</f>
        <v>120</v>
      </c>
      <c r="G427" s="32"/>
    </row>
    <row r="428" spans="2:8" ht="26.25" customHeight="1">
      <c r="B428" s="23">
        <f t="shared" si="13"/>
        <v>29</v>
      </c>
      <c r="C428" s="19" t="s">
        <v>655</v>
      </c>
      <c r="D428" s="64" t="s">
        <v>1086</v>
      </c>
      <c r="E428" s="32"/>
      <c r="F428" s="119"/>
      <c r="G428" s="32">
        <v>100</v>
      </c>
      <c r="H428" s="152" t="s">
        <v>1088</v>
      </c>
    </row>
    <row r="429" spans="2:8" ht="26.25" customHeight="1">
      <c r="B429" s="23">
        <f t="shared" si="13"/>
        <v>30</v>
      </c>
      <c r="C429" s="19" t="s">
        <v>146</v>
      </c>
      <c r="D429" s="64" t="s">
        <v>1092</v>
      </c>
      <c r="E429" s="32">
        <v>75</v>
      </c>
      <c r="F429" s="119">
        <v>75</v>
      </c>
      <c r="G429" s="32"/>
    </row>
    <row r="430" spans="2:8" ht="26.25" customHeight="1">
      <c r="B430" s="23">
        <f t="shared" si="13"/>
        <v>31</v>
      </c>
      <c r="C430" s="19" t="s">
        <v>896</v>
      </c>
      <c r="D430" s="64" t="s">
        <v>1097</v>
      </c>
      <c r="E430" s="32">
        <v>200</v>
      </c>
      <c r="F430" s="119">
        <v>200</v>
      </c>
      <c r="G430" s="32"/>
    </row>
    <row r="431" spans="2:8" ht="26.25" customHeight="1">
      <c r="B431" s="23">
        <f t="shared" si="13"/>
        <v>32</v>
      </c>
      <c r="C431" s="19" t="s">
        <v>419</v>
      </c>
      <c r="D431" s="64" t="s">
        <v>1101</v>
      </c>
      <c r="E431" s="32">
        <v>100</v>
      </c>
      <c r="F431" s="119">
        <f>E431</f>
        <v>100</v>
      </c>
      <c r="G431" s="32"/>
    </row>
    <row r="432" spans="2:8" ht="26.25" customHeight="1">
      <c r="B432" s="23">
        <f t="shared" si="13"/>
        <v>33</v>
      </c>
      <c r="C432" s="19" t="s">
        <v>747</v>
      </c>
      <c r="D432" s="64" t="s">
        <v>1104</v>
      </c>
      <c r="E432" s="32">
        <v>100</v>
      </c>
      <c r="F432" s="119">
        <v>100</v>
      </c>
      <c r="G432" s="32"/>
    </row>
    <row r="433" spans="2:7" ht="26.25" customHeight="1">
      <c r="B433" s="23">
        <f t="shared" si="13"/>
        <v>34</v>
      </c>
      <c r="C433" s="19" t="s">
        <v>307</v>
      </c>
      <c r="D433" s="64" t="s">
        <v>1107</v>
      </c>
      <c r="E433" s="32">
        <v>25</v>
      </c>
      <c r="F433" s="119">
        <f>E433</f>
        <v>25</v>
      </c>
      <c r="G433" s="32"/>
    </row>
    <row r="434" spans="2:7" ht="26.25" customHeight="1">
      <c r="B434" s="23">
        <f t="shared" si="13"/>
        <v>35</v>
      </c>
      <c r="C434" s="19" t="s">
        <v>1110</v>
      </c>
      <c r="D434" s="64" t="s">
        <v>1112</v>
      </c>
      <c r="E434" s="32">
        <v>100</v>
      </c>
      <c r="F434" s="119">
        <v>100</v>
      </c>
      <c r="G434" s="32"/>
    </row>
    <row r="435" spans="2:7" ht="26.25" customHeight="1">
      <c r="B435" s="23">
        <f t="shared" si="13"/>
        <v>36</v>
      </c>
      <c r="C435" s="19" t="s">
        <v>1114</v>
      </c>
      <c r="D435" s="64" t="s">
        <v>1115</v>
      </c>
      <c r="E435" s="32">
        <v>100</v>
      </c>
      <c r="F435" s="119">
        <v>100</v>
      </c>
      <c r="G435" s="32"/>
    </row>
    <row r="436" spans="2:7" ht="26.25" customHeight="1">
      <c r="B436" s="23">
        <f t="shared" si="13"/>
        <v>37</v>
      </c>
      <c r="C436" s="19" t="s">
        <v>1117</v>
      </c>
      <c r="D436" s="64" t="s">
        <v>1118</v>
      </c>
      <c r="E436" s="32">
        <v>100</v>
      </c>
      <c r="F436" s="119">
        <v>100</v>
      </c>
      <c r="G436" s="32"/>
    </row>
    <row r="437" spans="2:7" ht="26.25" customHeight="1">
      <c r="B437" s="23">
        <f t="shared" si="13"/>
        <v>38</v>
      </c>
      <c r="C437" s="19" t="s">
        <v>1120</v>
      </c>
      <c r="D437" s="64" t="s">
        <v>1122</v>
      </c>
      <c r="E437" s="32">
        <v>100</v>
      </c>
      <c r="F437" s="13">
        <f>E437</f>
        <v>100</v>
      </c>
      <c r="G437" s="32"/>
    </row>
    <row r="438" spans="2:7" ht="26.25" customHeight="1">
      <c r="B438" s="23"/>
      <c r="C438" s="156"/>
      <c r="D438" s="156"/>
      <c r="E438" s="157"/>
      <c r="F438" s="158"/>
      <c r="G438" s="159"/>
    </row>
    <row r="439" spans="2:7" ht="26.25" customHeight="1">
      <c r="B439" s="23"/>
      <c r="C439" s="63"/>
      <c r="D439" s="156"/>
      <c r="E439" s="157"/>
      <c r="F439" s="158"/>
      <c r="G439" s="159"/>
    </row>
    <row r="440" spans="2:7" ht="26.25" customHeight="1">
      <c r="B440" s="58"/>
      <c r="C440" s="58"/>
      <c r="D440" s="58"/>
      <c r="E440" s="91"/>
      <c r="F440" s="160"/>
      <c r="G440" s="91"/>
    </row>
    <row r="441" spans="2:7" ht="26.25" customHeight="1">
      <c r="B441" s="85"/>
      <c r="C441" s="85"/>
      <c r="D441" s="85"/>
      <c r="E441" s="86">
        <f t="shared" ref="E441:F441" si="14">SUM(E399:E440)</f>
        <v>3722</v>
      </c>
      <c r="F441" s="86">
        <f t="shared" si="14"/>
        <v>3472</v>
      </c>
      <c r="G441" s="86">
        <f>E441-F441</f>
        <v>250</v>
      </c>
    </row>
    <row r="442" spans="2:7" ht="26.25" customHeight="1">
      <c r="B442" s="62"/>
      <c r="C442" s="62"/>
      <c r="D442" s="62"/>
      <c r="E442" s="161"/>
      <c r="F442" s="161"/>
      <c r="G442" s="161"/>
    </row>
    <row r="443" spans="2:7" ht="26.25" customHeight="1">
      <c r="B443" s="191" t="s">
        <v>1136</v>
      </c>
      <c r="C443" s="192"/>
      <c r="D443" s="192"/>
      <c r="E443" s="192"/>
      <c r="F443" s="192"/>
      <c r="G443" s="193"/>
    </row>
    <row r="444" spans="2:7" ht="26.25" customHeight="1">
      <c r="B444" s="194" t="s">
        <v>1</v>
      </c>
      <c r="C444" s="196" t="s">
        <v>2</v>
      </c>
      <c r="D444" s="198" t="s">
        <v>4</v>
      </c>
      <c r="E444" s="200" t="s">
        <v>5</v>
      </c>
      <c r="F444" s="202" t="s">
        <v>6</v>
      </c>
      <c r="G444" s="203" t="s">
        <v>7</v>
      </c>
    </row>
    <row r="445" spans="2:7" ht="26.25" customHeight="1">
      <c r="B445" s="195"/>
      <c r="C445" s="197"/>
      <c r="D445" s="199"/>
      <c r="E445" s="201"/>
      <c r="F445" s="195"/>
      <c r="G445" s="197"/>
    </row>
    <row r="446" spans="2:7" ht="26.25" customHeight="1">
      <c r="B446" s="58"/>
      <c r="C446" s="104" t="s">
        <v>1137</v>
      </c>
      <c r="D446" s="58"/>
      <c r="E446" s="60"/>
      <c r="F446" s="60"/>
      <c r="G446" s="60"/>
    </row>
    <row r="447" spans="2:7" ht="26.25" customHeight="1">
      <c r="B447" s="23">
        <v>1</v>
      </c>
      <c r="C447" s="63" t="s">
        <v>406</v>
      </c>
      <c r="D447" s="87" t="s">
        <v>1145</v>
      </c>
      <c r="E447" s="32">
        <v>25</v>
      </c>
      <c r="F447" s="28">
        <f t="shared" ref="F447:F449" si="15">E447</f>
        <v>25</v>
      </c>
      <c r="G447" s="60"/>
    </row>
    <row r="448" spans="2:7" ht="26.25" customHeight="1">
      <c r="B448" s="23">
        <v>2</v>
      </c>
      <c r="C448" s="63" t="s">
        <v>1148</v>
      </c>
      <c r="D448" s="87" t="s">
        <v>1149</v>
      </c>
      <c r="E448" s="32">
        <v>100</v>
      </c>
      <c r="F448" s="28">
        <f t="shared" si="15"/>
        <v>100</v>
      </c>
      <c r="G448" s="60"/>
    </row>
    <row r="449" spans="2:7" ht="26.25" customHeight="1">
      <c r="B449" s="23">
        <v>3</v>
      </c>
      <c r="C449" s="162" t="s">
        <v>1152</v>
      </c>
      <c r="D449" s="31" t="s">
        <v>1153</v>
      </c>
      <c r="E449" s="32">
        <v>100</v>
      </c>
      <c r="F449" s="28">
        <f t="shared" si="15"/>
        <v>100</v>
      </c>
      <c r="G449" s="60"/>
    </row>
    <row r="450" spans="2:7" ht="26.25" customHeight="1">
      <c r="B450" s="23">
        <v>4</v>
      </c>
      <c r="C450" s="162" t="s">
        <v>1156</v>
      </c>
      <c r="D450" s="31" t="s">
        <v>1157</v>
      </c>
      <c r="E450" s="35">
        <v>100</v>
      </c>
      <c r="F450" s="28">
        <v>100</v>
      </c>
      <c r="G450" s="60"/>
    </row>
    <row r="451" spans="2:7" ht="26.25" customHeight="1">
      <c r="B451" s="23">
        <v>5</v>
      </c>
      <c r="C451" s="162" t="s">
        <v>1159</v>
      </c>
      <c r="D451" s="31" t="s">
        <v>1160</v>
      </c>
      <c r="E451" s="35">
        <v>80</v>
      </c>
      <c r="F451" s="28">
        <v>80</v>
      </c>
      <c r="G451" s="60"/>
    </row>
    <row r="452" spans="2:7" ht="26.25" customHeight="1">
      <c r="B452" s="23">
        <v>6</v>
      </c>
      <c r="C452" s="162" t="s">
        <v>458</v>
      </c>
      <c r="D452" s="31" t="s">
        <v>1166</v>
      </c>
      <c r="E452" s="35">
        <v>25</v>
      </c>
      <c r="F452" s="28">
        <v>25</v>
      </c>
      <c r="G452" s="60"/>
    </row>
    <row r="453" spans="2:7" ht="26.25" customHeight="1">
      <c r="B453" s="23">
        <v>7</v>
      </c>
      <c r="C453" s="162" t="s">
        <v>86</v>
      </c>
      <c r="D453" s="31" t="s">
        <v>1168</v>
      </c>
      <c r="E453" s="35">
        <v>60</v>
      </c>
      <c r="F453" s="28">
        <v>60</v>
      </c>
      <c r="G453" s="60"/>
    </row>
    <row r="454" spans="2:7" ht="26.25" customHeight="1">
      <c r="B454" s="23">
        <v>8</v>
      </c>
      <c r="C454" s="162" t="s">
        <v>82</v>
      </c>
      <c r="D454" s="31" t="s">
        <v>1169</v>
      </c>
      <c r="E454" s="35">
        <v>63</v>
      </c>
      <c r="F454" s="28">
        <v>63</v>
      </c>
      <c r="G454" s="60"/>
    </row>
    <row r="455" spans="2:7" ht="26.25" customHeight="1">
      <c r="B455" s="23">
        <v>9</v>
      </c>
      <c r="C455" s="162" t="s">
        <v>261</v>
      </c>
      <c r="D455" s="31" t="s">
        <v>1170</v>
      </c>
      <c r="E455" s="35">
        <v>150</v>
      </c>
      <c r="F455" s="28">
        <v>150</v>
      </c>
      <c r="G455" s="60"/>
    </row>
    <row r="456" spans="2:7" ht="26.25" customHeight="1">
      <c r="B456" s="23">
        <v>10</v>
      </c>
      <c r="C456" s="162" t="s">
        <v>120</v>
      </c>
      <c r="D456" s="31" t="s">
        <v>1172</v>
      </c>
      <c r="E456" s="35">
        <v>35</v>
      </c>
      <c r="F456" s="28">
        <v>35</v>
      </c>
      <c r="G456" s="60"/>
    </row>
    <row r="457" spans="2:7" ht="26.25" customHeight="1">
      <c r="B457" s="23">
        <v>11</v>
      </c>
      <c r="C457" s="162" t="s">
        <v>948</v>
      </c>
      <c r="D457" s="31" t="s">
        <v>1173</v>
      </c>
      <c r="E457" s="35">
        <v>120</v>
      </c>
      <c r="F457" s="28">
        <v>120</v>
      </c>
      <c r="G457" s="60"/>
    </row>
    <row r="458" spans="2:7" ht="26.25" customHeight="1">
      <c r="B458" s="23">
        <v>12</v>
      </c>
      <c r="C458" s="162" t="s">
        <v>279</v>
      </c>
      <c r="D458" s="31" t="s">
        <v>1174</v>
      </c>
      <c r="E458" s="35">
        <v>200</v>
      </c>
      <c r="F458" s="28">
        <v>200</v>
      </c>
      <c r="G458" s="60"/>
    </row>
    <row r="459" spans="2:7" ht="26.25" customHeight="1">
      <c r="B459" s="23">
        <v>13</v>
      </c>
      <c r="C459" s="162" t="s">
        <v>1175</v>
      </c>
      <c r="D459" s="31" t="s">
        <v>1177</v>
      </c>
      <c r="E459" s="35">
        <v>100</v>
      </c>
      <c r="F459" s="28">
        <v>100</v>
      </c>
      <c r="G459" s="60"/>
    </row>
    <row r="460" spans="2:7" ht="26.25" customHeight="1">
      <c r="B460" s="23">
        <v>14</v>
      </c>
      <c r="C460" s="162" t="s">
        <v>124</v>
      </c>
      <c r="D460" s="31" t="s">
        <v>1179</v>
      </c>
      <c r="E460" s="35">
        <v>100</v>
      </c>
      <c r="F460" s="28">
        <v>100</v>
      </c>
      <c r="G460" s="60"/>
    </row>
    <row r="461" spans="2:7" ht="26.25" customHeight="1">
      <c r="B461" s="23">
        <v>15</v>
      </c>
      <c r="C461" s="162" t="s">
        <v>861</v>
      </c>
      <c r="D461" s="31" t="s">
        <v>1182</v>
      </c>
      <c r="E461" s="35"/>
      <c r="F461" s="28"/>
      <c r="G461" s="91" t="s">
        <v>1185</v>
      </c>
    </row>
    <row r="462" spans="2:7" ht="26.25" customHeight="1">
      <c r="B462" s="23">
        <v>16</v>
      </c>
      <c r="C462" s="162" t="s">
        <v>1186</v>
      </c>
      <c r="D462" s="31" t="s">
        <v>1187</v>
      </c>
      <c r="E462" s="35">
        <v>100</v>
      </c>
      <c r="F462" s="28">
        <v>100</v>
      </c>
      <c r="G462" s="60"/>
    </row>
    <row r="463" spans="2:7" ht="26.25" customHeight="1">
      <c r="B463" s="23">
        <v>17</v>
      </c>
      <c r="C463" s="162" t="s">
        <v>568</v>
      </c>
      <c r="D463" s="31" t="s">
        <v>1189</v>
      </c>
      <c r="E463" s="35">
        <v>100</v>
      </c>
      <c r="F463" s="28">
        <v>100</v>
      </c>
      <c r="G463" s="60"/>
    </row>
    <row r="464" spans="2:7" ht="26.25" customHeight="1">
      <c r="B464" s="23">
        <v>18</v>
      </c>
      <c r="C464" s="162" t="s">
        <v>961</v>
      </c>
      <c r="D464" s="31" t="s">
        <v>1191</v>
      </c>
      <c r="E464" s="35">
        <v>100</v>
      </c>
      <c r="F464" s="28">
        <v>100</v>
      </c>
      <c r="G464" s="60"/>
    </row>
    <row r="465" spans="2:11" ht="26.25" customHeight="1">
      <c r="B465" s="23">
        <v>19</v>
      </c>
      <c r="C465" s="162" t="s">
        <v>447</v>
      </c>
      <c r="D465" s="31" t="s">
        <v>1193</v>
      </c>
      <c r="E465" s="35">
        <v>50</v>
      </c>
      <c r="F465" s="28">
        <v>50</v>
      </c>
      <c r="G465" s="60"/>
    </row>
    <row r="466" spans="2:11" ht="26.25" customHeight="1">
      <c r="B466" s="23">
        <v>20</v>
      </c>
      <c r="C466" s="162" t="s">
        <v>127</v>
      </c>
      <c r="D466" s="31" t="s">
        <v>1195</v>
      </c>
      <c r="E466" s="35">
        <v>300</v>
      </c>
      <c r="F466" s="28">
        <v>300</v>
      </c>
      <c r="G466" s="60"/>
    </row>
    <row r="467" spans="2:11" ht="26.25" customHeight="1">
      <c r="B467" s="23">
        <f t="shared" ref="B467:B473" si="16">B466+1</f>
        <v>21</v>
      </c>
      <c r="C467" s="162" t="s">
        <v>286</v>
      </c>
      <c r="D467" s="31" t="s">
        <v>1197</v>
      </c>
      <c r="E467" s="35">
        <v>160</v>
      </c>
      <c r="F467" s="28">
        <v>160</v>
      </c>
      <c r="G467" s="60"/>
    </row>
    <row r="468" spans="2:11" ht="26.25" customHeight="1">
      <c r="B468" s="23">
        <f t="shared" si="16"/>
        <v>22</v>
      </c>
      <c r="C468" s="162" t="s">
        <v>1198</v>
      </c>
      <c r="D468" s="31" t="s">
        <v>1199</v>
      </c>
      <c r="E468" s="35">
        <v>80</v>
      </c>
      <c r="F468" s="28">
        <v>80</v>
      </c>
      <c r="G468" s="60"/>
    </row>
    <row r="469" spans="2:11" ht="26.25" customHeight="1">
      <c r="B469" s="23">
        <f t="shared" si="16"/>
        <v>23</v>
      </c>
      <c r="C469" s="162" t="s">
        <v>290</v>
      </c>
      <c r="D469" s="31" t="s">
        <v>1201</v>
      </c>
      <c r="E469" s="35">
        <v>100</v>
      </c>
      <c r="F469" s="28">
        <v>100</v>
      </c>
      <c r="G469" s="60"/>
    </row>
    <row r="470" spans="2:11" ht="26.25" customHeight="1">
      <c r="B470" s="23">
        <f t="shared" si="16"/>
        <v>24</v>
      </c>
      <c r="C470" s="162" t="s">
        <v>971</v>
      </c>
      <c r="D470" s="31" t="s">
        <v>1202</v>
      </c>
      <c r="E470" s="35">
        <v>100</v>
      </c>
      <c r="F470" s="28">
        <v>100</v>
      </c>
      <c r="G470" s="60"/>
    </row>
    <row r="471" spans="2:11" ht="26.25" customHeight="1">
      <c r="B471" s="23">
        <f t="shared" si="16"/>
        <v>25</v>
      </c>
      <c r="C471" s="162" t="s">
        <v>849</v>
      </c>
      <c r="D471" s="31" t="s">
        <v>1203</v>
      </c>
      <c r="E471" s="35">
        <v>100</v>
      </c>
      <c r="F471" s="28">
        <v>100</v>
      </c>
      <c r="G471" s="60"/>
    </row>
    <row r="472" spans="2:11" ht="26.25" customHeight="1">
      <c r="B472" s="23">
        <f t="shared" si="16"/>
        <v>26</v>
      </c>
      <c r="C472" s="162" t="s">
        <v>1204</v>
      </c>
      <c r="D472" s="31" t="s">
        <v>1205</v>
      </c>
      <c r="E472" s="35">
        <v>50</v>
      </c>
      <c r="F472" s="28">
        <v>50</v>
      </c>
      <c r="G472" s="60"/>
    </row>
    <row r="473" spans="2:11" ht="26.25" customHeight="1">
      <c r="B473" s="23">
        <f t="shared" si="16"/>
        <v>27</v>
      </c>
      <c r="C473" s="162" t="s">
        <v>1206</v>
      </c>
      <c r="D473" s="31" t="s">
        <v>1207</v>
      </c>
      <c r="E473" s="35">
        <v>100</v>
      </c>
      <c r="F473" s="28">
        <v>100</v>
      </c>
      <c r="G473" s="60"/>
    </row>
    <row r="474" spans="2:11" ht="26.25" customHeight="1">
      <c r="B474" s="58"/>
      <c r="C474" s="58"/>
      <c r="D474" s="58"/>
      <c r="E474" s="60"/>
      <c r="F474" s="60"/>
      <c r="G474" s="60"/>
    </row>
    <row r="475" spans="2:11" ht="26.25" customHeight="1">
      <c r="B475" s="85"/>
      <c r="C475" s="85"/>
      <c r="D475" s="85"/>
      <c r="E475" s="86">
        <f t="shared" ref="E475:F475" si="17">SUM(E446:E474)</f>
        <v>2598</v>
      </c>
      <c r="F475" s="86">
        <f t="shared" si="17"/>
        <v>2598</v>
      </c>
      <c r="G475" s="86">
        <f>E475-F475</f>
        <v>0</v>
      </c>
      <c r="I475" s="164">
        <f>G475+G441+G394+G358+G299+G257+G208+G196+G160+G114+G76+G38</f>
        <v>720</v>
      </c>
    </row>
    <row r="476" spans="2:11" ht="14.25">
      <c r="E476" s="140"/>
      <c r="F476" s="140"/>
      <c r="G476" s="140"/>
    </row>
    <row r="477" spans="2:11" ht="30" customHeight="1">
      <c r="E477" s="165">
        <f t="shared" ref="E477:F477" si="18">E475+E441+E394+E358+E299+E257+E208+E196+E160+E114+E76+E38</f>
        <v>39537.75</v>
      </c>
      <c r="F477" s="165">
        <f t="shared" si="18"/>
        <v>38817.75</v>
      </c>
      <c r="G477" s="165">
        <f>E477-F477</f>
        <v>720</v>
      </c>
    </row>
    <row r="478" spans="2:11" ht="14.25">
      <c r="E478" s="140"/>
      <c r="F478" s="140"/>
      <c r="G478" s="140"/>
    </row>
    <row r="479" spans="2:11">
      <c r="E479" s="140"/>
      <c r="F479" s="140"/>
      <c r="G479" s="140"/>
      <c r="K479" s="166"/>
    </row>
    <row r="480" spans="2:11" ht="14.25">
      <c r="E480" s="140"/>
      <c r="F480" s="140"/>
      <c r="G480" s="140"/>
    </row>
    <row r="481" spans="5:7" ht="14.25">
      <c r="E481" s="140"/>
      <c r="F481" s="140"/>
      <c r="G481" s="140"/>
    </row>
    <row r="482" spans="5:7" ht="14.25">
      <c r="E482" s="140"/>
      <c r="F482" s="140"/>
      <c r="G482" s="140"/>
    </row>
    <row r="483" spans="5:7" ht="14.25">
      <c r="E483" s="140"/>
      <c r="F483" s="140"/>
      <c r="G483" s="140"/>
    </row>
    <row r="484" spans="5:7" ht="14.25">
      <c r="E484" s="140"/>
      <c r="F484" s="140"/>
      <c r="G484" s="140"/>
    </row>
    <row r="485" spans="5:7" ht="14.25">
      <c r="E485" s="140"/>
      <c r="F485" s="140"/>
      <c r="G485" s="140"/>
    </row>
    <row r="486" spans="5:7" ht="14.25">
      <c r="E486" s="140"/>
      <c r="F486" s="140"/>
      <c r="G486" s="140"/>
    </row>
    <row r="487" spans="5:7" ht="14.25">
      <c r="E487" s="140"/>
      <c r="F487" s="140"/>
      <c r="G487" s="140"/>
    </row>
    <row r="488" spans="5:7" ht="14.25">
      <c r="E488" s="140"/>
      <c r="F488" s="140"/>
      <c r="G488" s="140"/>
    </row>
    <row r="489" spans="5:7" ht="14.25">
      <c r="E489" s="140"/>
      <c r="F489" s="140"/>
      <c r="G489" s="140"/>
    </row>
    <row r="490" spans="5:7" ht="14.25">
      <c r="E490" s="140"/>
      <c r="F490" s="140"/>
      <c r="G490" s="140"/>
    </row>
    <row r="491" spans="5:7" ht="14.25">
      <c r="E491" s="140"/>
      <c r="F491" s="140"/>
      <c r="G491" s="140"/>
    </row>
    <row r="492" spans="5:7" ht="14.25">
      <c r="E492" s="140"/>
      <c r="F492" s="140"/>
      <c r="G492" s="140"/>
    </row>
    <row r="493" spans="5:7" ht="14.25">
      <c r="E493" s="140"/>
      <c r="F493" s="140"/>
      <c r="G493" s="140"/>
    </row>
    <row r="494" spans="5:7" ht="14.25">
      <c r="E494" s="140"/>
      <c r="F494" s="140"/>
      <c r="G494" s="140"/>
    </row>
    <row r="495" spans="5:7" ht="14.25">
      <c r="E495" s="140"/>
      <c r="F495" s="140"/>
      <c r="G495" s="140"/>
    </row>
    <row r="496" spans="5:7" ht="14.25">
      <c r="E496" s="140"/>
      <c r="F496" s="140"/>
      <c r="G496" s="140"/>
    </row>
    <row r="497" spans="5:7" ht="14.25">
      <c r="E497" s="140"/>
      <c r="F497" s="140"/>
      <c r="G497" s="140"/>
    </row>
    <row r="498" spans="5:7" ht="14.25">
      <c r="E498" s="140"/>
      <c r="F498" s="140"/>
      <c r="G498" s="140"/>
    </row>
    <row r="499" spans="5:7" ht="14.25">
      <c r="E499" s="140"/>
      <c r="F499" s="140"/>
      <c r="G499" s="140"/>
    </row>
    <row r="500" spans="5:7" ht="14.25">
      <c r="E500" s="140"/>
      <c r="F500" s="140"/>
      <c r="G500" s="140"/>
    </row>
    <row r="501" spans="5:7" ht="14.25">
      <c r="E501" s="140"/>
      <c r="F501" s="140"/>
      <c r="G501" s="140"/>
    </row>
    <row r="502" spans="5:7" ht="14.25">
      <c r="E502" s="140"/>
      <c r="F502" s="140"/>
      <c r="G502" s="140"/>
    </row>
    <row r="503" spans="5:7" ht="14.25">
      <c r="E503" s="140"/>
      <c r="F503" s="140"/>
      <c r="G503" s="140"/>
    </row>
    <row r="504" spans="5:7" ht="14.25">
      <c r="E504" s="140"/>
      <c r="F504" s="140"/>
      <c r="G504" s="140"/>
    </row>
    <row r="505" spans="5:7" ht="14.25">
      <c r="E505" s="140"/>
      <c r="F505" s="140"/>
      <c r="G505" s="140"/>
    </row>
    <row r="506" spans="5:7" ht="14.25">
      <c r="E506" s="140"/>
      <c r="F506" s="140"/>
      <c r="G506" s="140"/>
    </row>
    <row r="507" spans="5:7" ht="14.25">
      <c r="E507" s="140"/>
      <c r="F507" s="140"/>
      <c r="G507" s="140"/>
    </row>
    <row r="508" spans="5:7" ht="14.25">
      <c r="E508" s="140"/>
      <c r="F508" s="140"/>
      <c r="G508" s="140"/>
    </row>
    <row r="509" spans="5:7" ht="14.25">
      <c r="E509" s="140"/>
      <c r="F509" s="140"/>
      <c r="G509" s="140"/>
    </row>
    <row r="510" spans="5:7" ht="14.25">
      <c r="E510" s="140"/>
      <c r="F510" s="140"/>
      <c r="G510" s="140"/>
    </row>
    <row r="511" spans="5:7" ht="14.25">
      <c r="E511" s="140"/>
      <c r="F511" s="140"/>
      <c r="G511" s="140"/>
    </row>
    <row r="512" spans="5:7" ht="14.25">
      <c r="E512" s="140"/>
      <c r="F512" s="140"/>
      <c r="G512" s="140"/>
    </row>
    <row r="513" spans="5:7" ht="14.25">
      <c r="E513" s="140"/>
      <c r="F513" s="140"/>
      <c r="G513" s="140"/>
    </row>
    <row r="514" spans="5:7" ht="14.25">
      <c r="E514" s="140"/>
      <c r="F514" s="140"/>
      <c r="G514" s="140"/>
    </row>
    <row r="515" spans="5:7" ht="14.25">
      <c r="E515" s="140"/>
      <c r="F515" s="140"/>
      <c r="G515" s="140"/>
    </row>
    <row r="516" spans="5:7" ht="14.25">
      <c r="E516" s="140"/>
      <c r="F516" s="140"/>
      <c r="G516" s="140"/>
    </row>
    <row r="517" spans="5:7" ht="14.25">
      <c r="E517" s="140"/>
      <c r="F517" s="140"/>
      <c r="G517" s="140"/>
    </row>
    <row r="518" spans="5:7" ht="14.25">
      <c r="E518" s="140"/>
      <c r="F518" s="140"/>
      <c r="G518" s="140"/>
    </row>
    <row r="519" spans="5:7" ht="14.25">
      <c r="E519" s="140"/>
      <c r="F519" s="140"/>
      <c r="G519" s="140"/>
    </row>
    <row r="520" spans="5:7" ht="14.25">
      <c r="E520" s="140"/>
      <c r="F520" s="140"/>
      <c r="G520" s="140"/>
    </row>
    <row r="521" spans="5:7" ht="14.25">
      <c r="E521" s="140"/>
      <c r="F521" s="140"/>
      <c r="G521" s="140"/>
    </row>
    <row r="522" spans="5:7" ht="14.25">
      <c r="E522" s="140"/>
      <c r="F522" s="140"/>
      <c r="G522" s="140"/>
    </row>
    <row r="523" spans="5:7" ht="14.25">
      <c r="E523" s="140"/>
      <c r="F523" s="140"/>
      <c r="G523" s="140"/>
    </row>
    <row r="524" spans="5:7" ht="14.25">
      <c r="E524" s="140"/>
      <c r="F524" s="140"/>
      <c r="G524" s="140"/>
    </row>
    <row r="525" spans="5:7" ht="14.25">
      <c r="E525" s="140"/>
      <c r="F525" s="140"/>
      <c r="G525" s="140"/>
    </row>
    <row r="526" spans="5:7" ht="14.25">
      <c r="E526" s="140"/>
      <c r="F526" s="140"/>
      <c r="G526" s="140"/>
    </row>
    <row r="527" spans="5:7" ht="14.25">
      <c r="E527" s="140"/>
      <c r="F527" s="140"/>
      <c r="G527" s="140"/>
    </row>
    <row r="528" spans="5:7" ht="14.25">
      <c r="E528" s="140"/>
      <c r="F528" s="140"/>
      <c r="G528" s="140"/>
    </row>
    <row r="529" spans="5:7" ht="14.25">
      <c r="E529" s="140"/>
      <c r="F529" s="140"/>
      <c r="G529" s="140"/>
    </row>
    <row r="530" spans="5:7" ht="14.25">
      <c r="E530" s="140"/>
      <c r="F530" s="140"/>
      <c r="G530" s="140"/>
    </row>
    <row r="531" spans="5:7" ht="14.25">
      <c r="E531" s="140"/>
      <c r="F531" s="140"/>
      <c r="G531" s="140"/>
    </row>
    <row r="532" spans="5:7" ht="14.25">
      <c r="E532" s="140"/>
      <c r="F532" s="140"/>
      <c r="G532" s="140"/>
    </row>
    <row r="533" spans="5:7" ht="14.25">
      <c r="E533" s="140"/>
      <c r="F533" s="140"/>
      <c r="G533" s="140"/>
    </row>
    <row r="534" spans="5:7" ht="14.25">
      <c r="E534" s="140"/>
      <c r="F534" s="140"/>
      <c r="G534" s="140"/>
    </row>
    <row r="535" spans="5:7" ht="14.25">
      <c r="E535" s="140"/>
      <c r="F535" s="140"/>
      <c r="G535" s="140"/>
    </row>
    <row r="536" spans="5:7" ht="14.25">
      <c r="E536" s="140"/>
      <c r="F536" s="140"/>
      <c r="G536" s="140"/>
    </row>
    <row r="537" spans="5:7" ht="14.25">
      <c r="E537" s="140"/>
      <c r="F537" s="140"/>
      <c r="G537" s="140"/>
    </row>
    <row r="538" spans="5:7" ht="14.25">
      <c r="E538" s="140"/>
      <c r="F538" s="140"/>
      <c r="G538" s="140"/>
    </row>
    <row r="539" spans="5:7" ht="14.25">
      <c r="E539" s="140"/>
      <c r="F539" s="140"/>
      <c r="G539" s="140"/>
    </row>
    <row r="540" spans="5:7" ht="14.25">
      <c r="E540" s="140"/>
      <c r="F540" s="140"/>
      <c r="G540" s="140"/>
    </row>
    <row r="541" spans="5:7" ht="14.25">
      <c r="E541" s="140"/>
      <c r="F541" s="140"/>
      <c r="G541" s="140"/>
    </row>
    <row r="542" spans="5:7" ht="14.25">
      <c r="E542" s="140"/>
      <c r="F542" s="140"/>
      <c r="G542" s="140"/>
    </row>
    <row r="543" spans="5:7" ht="14.25">
      <c r="E543" s="140"/>
      <c r="F543" s="140"/>
      <c r="G543" s="140"/>
    </row>
    <row r="544" spans="5:7" ht="14.25">
      <c r="E544" s="140"/>
      <c r="F544" s="140"/>
      <c r="G544" s="140"/>
    </row>
    <row r="545" spans="5:7" ht="14.25">
      <c r="E545" s="140"/>
      <c r="F545" s="140"/>
      <c r="G545" s="140"/>
    </row>
    <row r="546" spans="5:7" ht="14.25">
      <c r="E546" s="140"/>
      <c r="F546" s="140"/>
      <c r="G546" s="140"/>
    </row>
    <row r="547" spans="5:7" ht="14.25">
      <c r="E547" s="140"/>
      <c r="F547" s="140"/>
      <c r="G547" s="140"/>
    </row>
    <row r="548" spans="5:7" ht="14.25">
      <c r="E548" s="140"/>
      <c r="F548" s="140"/>
      <c r="G548" s="140"/>
    </row>
    <row r="549" spans="5:7" ht="14.25">
      <c r="E549" s="140"/>
      <c r="F549" s="140"/>
      <c r="G549" s="140"/>
    </row>
    <row r="550" spans="5:7" ht="14.25">
      <c r="E550" s="140"/>
      <c r="F550" s="140"/>
      <c r="G550" s="140"/>
    </row>
    <row r="551" spans="5:7" ht="14.25">
      <c r="E551" s="140"/>
      <c r="F551" s="140"/>
      <c r="G551" s="140"/>
    </row>
    <row r="552" spans="5:7" ht="14.25">
      <c r="E552" s="140"/>
      <c r="F552" s="140"/>
      <c r="G552" s="140"/>
    </row>
    <row r="553" spans="5:7" ht="14.25">
      <c r="E553" s="140"/>
      <c r="F553" s="140"/>
      <c r="G553" s="140"/>
    </row>
    <row r="554" spans="5:7" ht="14.25">
      <c r="E554" s="140"/>
      <c r="F554" s="140"/>
      <c r="G554" s="140"/>
    </row>
    <row r="555" spans="5:7" ht="14.25">
      <c r="E555" s="140"/>
      <c r="F555" s="140"/>
      <c r="G555" s="140"/>
    </row>
    <row r="556" spans="5:7" ht="14.25">
      <c r="E556" s="140"/>
      <c r="F556" s="140"/>
      <c r="G556" s="140"/>
    </row>
    <row r="557" spans="5:7" ht="14.25">
      <c r="E557" s="140"/>
      <c r="F557" s="140"/>
      <c r="G557" s="140"/>
    </row>
    <row r="558" spans="5:7" ht="14.25">
      <c r="E558" s="140"/>
      <c r="F558" s="140"/>
      <c r="G558" s="140"/>
    </row>
    <row r="559" spans="5:7" ht="14.25">
      <c r="E559" s="140"/>
      <c r="F559" s="140"/>
      <c r="G559" s="140"/>
    </row>
    <row r="560" spans="5:7" ht="14.25">
      <c r="E560" s="140"/>
      <c r="F560" s="140"/>
      <c r="G560" s="140"/>
    </row>
    <row r="561" spans="5:7" ht="14.25">
      <c r="E561" s="140"/>
      <c r="F561" s="140"/>
      <c r="G561" s="140"/>
    </row>
    <row r="562" spans="5:7" ht="14.25">
      <c r="E562" s="140"/>
      <c r="F562" s="140"/>
      <c r="G562" s="140"/>
    </row>
    <row r="563" spans="5:7" ht="14.25">
      <c r="E563" s="140"/>
      <c r="F563" s="140"/>
      <c r="G563" s="140"/>
    </row>
    <row r="564" spans="5:7" ht="14.25">
      <c r="E564" s="140"/>
      <c r="F564" s="140"/>
      <c r="G564" s="140"/>
    </row>
    <row r="565" spans="5:7" ht="14.25">
      <c r="E565" s="140"/>
      <c r="F565" s="140"/>
      <c r="G565" s="140"/>
    </row>
    <row r="566" spans="5:7" ht="14.25">
      <c r="E566" s="140"/>
      <c r="F566" s="140"/>
      <c r="G566" s="140"/>
    </row>
    <row r="567" spans="5:7" ht="14.25">
      <c r="E567" s="140"/>
      <c r="F567" s="140"/>
      <c r="G567" s="140"/>
    </row>
    <row r="568" spans="5:7" ht="14.25">
      <c r="E568" s="140"/>
      <c r="F568" s="140"/>
      <c r="G568" s="140"/>
    </row>
    <row r="569" spans="5:7" ht="14.25">
      <c r="E569" s="140"/>
      <c r="F569" s="140"/>
      <c r="G569" s="140"/>
    </row>
    <row r="570" spans="5:7" ht="14.25">
      <c r="E570" s="140"/>
      <c r="F570" s="140"/>
      <c r="G570" s="140"/>
    </row>
    <row r="571" spans="5:7" ht="14.25">
      <c r="E571" s="140"/>
      <c r="F571" s="140"/>
      <c r="G571" s="140"/>
    </row>
    <row r="572" spans="5:7" ht="14.25">
      <c r="E572" s="140"/>
      <c r="F572" s="140"/>
      <c r="G572" s="140"/>
    </row>
    <row r="573" spans="5:7" ht="14.25">
      <c r="E573" s="140"/>
      <c r="F573" s="140"/>
      <c r="G573" s="140"/>
    </row>
    <row r="574" spans="5:7" ht="14.25">
      <c r="E574" s="140"/>
      <c r="F574" s="140"/>
      <c r="G574" s="140"/>
    </row>
    <row r="575" spans="5:7" ht="14.25">
      <c r="E575" s="140"/>
      <c r="F575" s="140"/>
      <c r="G575" s="140"/>
    </row>
    <row r="576" spans="5:7" ht="14.25">
      <c r="E576" s="140"/>
      <c r="F576" s="140"/>
      <c r="G576" s="140"/>
    </row>
    <row r="577" spans="5:7" ht="14.25">
      <c r="E577" s="140"/>
      <c r="F577" s="140"/>
      <c r="G577" s="140"/>
    </row>
    <row r="578" spans="5:7" ht="14.25">
      <c r="E578" s="140"/>
      <c r="F578" s="140"/>
      <c r="G578" s="140"/>
    </row>
    <row r="579" spans="5:7" ht="14.25">
      <c r="E579" s="140"/>
      <c r="F579" s="140"/>
      <c r="G579" s="140"/>
    </row>
    <row r="580" spans="5:7" ht="14.25">
      <c r="E580" s="140"/>
      <c r="F580" s="140"/>
      <c r="G580" s="140"/>
    </row>
    <row r="581" spans="5:7" ht="14.25">
      <c r="E581" s="140"/>
      <c r="F581" s="140"/>
      <c r="G581" s="140"/>
    </row>
    <row r="582" spans="5:7" ht="14.25">
      <c r="E582" s="140"/>
      <c r="F582" s="140"/>
      <c r="G582" s="140"/>
    </row>
    <row r="583" spans="5:7" ht="14.25">
      <c r="E583" s="140"/>
      <c r="F583" s="140"/>
      <c r="G583" s="140"/>
    </row>
    <row r="584" spans="5:7" ht="14.25">
      <c r="E584" s="140"/>
      <c r="F584" s="140"/>
      <c r="G584" s="140"/>
    </row>
    <row r="585" spans="5:7" ht="14.25">
      <c r="E585" s="140"/>
      <c r="F585" s="140"/>
      <c r="G585" s="140"/>
    </row>
    <row r="586" spans="5:7" ht="14.25">
      <c r="E586" s="140"/>
      <c r="F586" s="140"/>
      <c r="G586" s="140"/>
    </row>
    <row r="587" spans="5:7" ht="14.25">
      <c r="E587" s="140"/>
      <c r="F587" s="140"/>
      <c r="G587" s="140"/>
    </row>
    <row r="588" spans="5:7" ht="14.25">
      <c r="E588" s="140"/>
      <c r="F588" s="140"/>
      <c r="G588" s="140"/>
    </row>
    <row r="589" spans="5:7" ht="14.25">
      <c r="E589" s="140"/>
      <c r="F589" s="140"/>
      <c r="G589" s="140"/>
    </row>
    <row r="590" spans="5:7" ht="14.25">
      <c r="E590" s="140"/>
      <c r="F590" s="140"/>
      <c r="G590" s="140"/>
    </row>
    <row r="591" spans="5:7" ht="14.25">
      <c r="E591" s="140"/>
      <c r="F591" s="140"/>
      <c r="G591" s="140"/>
    </row>
    <row r="592" spans="5:7" ht="14.25">
      <c r="E592" s="140"/>
      <c r="F592" s="140"/>
      <c r="G592" s="140"/>
    </row>
    <row r="593" spans="5:7" ht="14.25">
      <c r="E593" s="140"/>
      <c r="F593" s="140"/>
      <c r="G593" s="140"/>
    </row>
    <row r="594" spans="5:7" ht="14.25">
      <c r="E594" s="140"/>
      <c r="F594" s="140"/>
      <c r="G594" s="140"/>
    </row>
    <row r="595" spans="5:7" ht="14.25">
      <c r="E595" s="140"/>
      <c r="F595" s="140"/>
      <c r="G595" s="140"/>
    </row>
    <row r="596" spans="5:7" ht="14.25">
      <c r="E596" s="140"/>
      <c r="F596" s="140"/>
      <c r="G596" s="140"/>
    </row>
    <row r="597" spans="5:7" ht="14.25">
      <c r="E597" s="140"/>
      <c r="F597" s="140"/>
      <c r="G597" s="140"/>
    </row>
    <row r="598" spans="5:7" ht="14.25">
      <c r="E598" s="140"/>
      <c r="F598" s="140"/>
      <c r="G598" s="140"/>
    </row>
    <row r="599" spans="5:7" ht="14.25">
      <c r="E599" s="140"/>
      <c r="F599" s="140"/>
      <c r="G599" s="140"/>
    </row>
    <row r="600" spans="5:7" ht="14.25">
      <c r="E600" s="140"/>
      <c r="F600" s="140"/>
      <c r="G600" s="140"/>
    </row>
    <row r="601" spans="5:7" ht="14.25">
      <c r="E601" s="140"/>
      <c r="F601" s="140"/>
      <c r="G601" s="140"/>
    </row>
    <row r="602" spans="5:7" ht="14.25">
      <c r="E602" s="140"/>
      <c r="F602" s="140"/>
      <c r="G602" s="140"/>
    </row>
    <row r="603" spans="5:7" ht="14.25">
      <c r="E603" s="140"/>
      <c r="F603" s="140"/>
      <c r="G603" s="140"/>
    </row>
    <row r="604" spans="5:7" ht="14.25">
      <c r="E604" s="140"/>
      <c r="F604" s="140"/>
      <c r="G604" s="140"/>
    </row>
    <row r="605" spans="5:7" ht="14.25">
      <c r="E605" s="140"/>
      <c r="F605" s="140"/>
      <c r="G605" s="140"/>
    </row>
    <row r="606" spans="5:7" ht="14.25">
      <c r="E606" s="140"/>
      <c r="F606" s="140"/>
      <c r="G606" s="140"/>
    </row>
    <row r="607" spans="5:7" ht="14.25">
      <c r="E607" s="140"/>
      <c r="F607" s="140"/>
      <c r="G607" s="140"/>
    </row>
    <row r="608" spans="5:7" ht="14.25">
      <c r="E608" s="140"/>
      <c r="F608" s="140"/>
      <c r="G608" s="140"/>
    </row>
    <row r="609" spans="5:7" ht="14.25">
      <c r="E609" s="140"/>
      <c r="F609" s="140"/>
      <c r="G609" s="140"/>
    </row>
    <row r="610" spans="5:7" ht="14.25">
      <c r="E610" s="140"/>
      <c r="F610" s="140"/>
      <c r="G610" s="140"/>
    </row>
    <row r="611" spans="5:7" ht="14.25">
      <c r="E611" s="140"/>
      <c r="F611" s="140"/>
      <c r="G611" s="140"/>
    </row>
    <row r="612" spans="5:7" ht="14.25">
      <c r="E612" s="140"/>
      <c r="F612" s="140"/>
      <c r="G612" s="140"/>
    </row>
    <row r="613" spans="5:7" ht="14.25">
      <c r="E613" s="140"/>
      <c r="F613" s="140"/>
      <c r="G613" s="140"/>
    </row>
    <row r="614" spans="5:7" ht="14.25">
      <c r="E614" s="140"/>
      <c r="F614" s="140"/>
      <c r="G614" s="140"/>
    </row>
    <row r="615" spans="5:7" ht="14.25">
      <c r="E615" s="140"/>
      <c r="F615" s="140"/>
      <c r="G615" s="140"/>
    </row>
    <row r="616" spans="5:7" ht="14.25">
      <c r="E616" s="140"/>
      <c r="F616" s="140"/>
      <c r="G616" s="140"/>
    </row>
    <row r="617" spans="5:7" ht="14.25">
      <c r="E617" s="140"/>
      <c r="F617" s="140"/>
      <c r="G617" s="140"/>
    </row>
    <row r="618" spans="5:7" ht="14.25">
      <c r="E618" s="140"/>
      <c r="F618" s="140"/>
      <c r="G618" s="140"/>
    </row>
    <row r="619" spans="5:7" ht="14.25">
      <c r="E619" s="140"/>
      <c r="F619" s="140"/>
      <c r="G619" s="140"/>
    </row>
    <row r="620" spans="5:7" ht="14.25">
      <c r="E620" s="140"/>
      <c r="F620" s="140"/>
      <c r="G620" s="140"/>
    </row>
    <row r="621" spans="5:7" ht="14.25">
      <c r="E621" s="140"/>
      <c r="F621" s="140"/>
      <c r="G621" s="140"/>
    </row>
    <row r="622" spans="5:7" ht="14.25">
      <c r="E622" s="140"/>
      <c r="F622" s="140"/>
      <c r="G622" s="140"/>
    </row>
    <row r="623" spans="5:7" ht="14.25">
      <c r="E623" s="140"/>
      <c r="F623" s="140"/>
      <c r="G623" s="140"/>
    </row>
    <row r="624" spans="5:7" ht="14.25">
      <c r="E624" s="140"/>
      <c r="F624" s="140"/>
      <c r="G624" s="140"/>
    </row>
    <row r="625" spans="5:7" ht="14.25">
      <c r="E625" s="140"/>
      <c r="F625" s="140"/>
      <c r="G625" s="140"/>
    </row>
    <row r="626" spans="5:7" ht="14.25">
      <c r="E626" s="140"/>
      <c r="F626" s="140"/>
      <c r="G626" s="140"/>
    </row>
    <row r="627" spans="5:7" ht="14.25">
      <c r="E627" s="140"/>
      <c r="F627" s="140"/>
      <c r="G627" s="140"/>
    </row>
    <row r="628" spans="5:7" ht="14.25">
      <c r="E628" s="140"/>
      <c r="F628" s="140"/>
      <c r="G628" s="140"/>
    </row>
    <row r="629" spans="5:7" ht="14.25">
      <c r="E629" s="140"/>
      <c r="F629" s="140"/>
      <c r="G629" s="140"/>
    </row>
    <row r="630" spans="5:7" ht="14.25">
      <c r="E630" s="140"/>
      <c r="F630" s="140"/>
      <c r="G630" s="140"/>
    </row>
    <row r="631" spans="5:7" ht="14.25">
      <c r="E631" s="140"/>
      <c r="F631" s="140"/>
      <c r="G631" s="140"/>
    </row>
    <row r="632" spans="5:7" ht="14.25">
      <c r="E632" s="140"/>
      <c r="F632" s="140"/>
      <c r="G632" s="140"/>
    </row>
    <row r="633" spans="5:7" ht="14.25">
      <c r="E633" s="140"/>
      <c r="F633" s="140"/>
      <c r="G633" s="140"/>
    </row>
    <row r="634" spans="5:7" ht="14.25">
      <c r="E634" s="140"/>
      <c r="F634" s="140"/>
      <c r="G634" s="140"/>
    </row>
    <row r="635" spans="5:7" ht="14.25">
      <c r="E635" s="140"/>
      <c r="F635" s="140"/>
      <c r="G635" s="140"/>
    </row>
    <row r="636" spans="5:7" ht="14.25">
      <c r="E636" s="140"/>
      <c r="F636" s="140"/>
      <c r="G636" s="140"/>
    </row>
    <row r="637" spans="5:7" ht="14.25">
      <c r="E637" s="140"/>
      <c r="F637" s="140"/>
      <c r="G637" s="140"/>
    </row>
    <row r="638" spans="5:7" ht="14.25">
      <c r="E638" s="140"/>
      <c r="F638" s="140"/>
      <c r="G638" s="140"/>
    </row>
    <row r="639" spans="5:7" ht="14.25">
      <c r="E639" s="140"/>
      <c r="F639" s="140"/>
      <c r="G639" s="140"/>
    </row>
    <row r="640" spans="5:7" ht="14.25">
      <c r="E640" s="140"/>
      <c r="F640" s="140"/>
      <c r="G640" s="140"/>
    </row>
    <row r="641" spans="5:7" ht="14.25">
      <c r="E641" s="140"/>
      <c r="F641" s="140"/>
      <c r="G641" s="140"/>
    </row>
    <row r="642" spans="5:7" ht="14.25">
      <c r="E642" s="140"/>
      <c r="F642" s="140"/>
      <c r="G642" s="140"/>
    </row>
    <row r="643" spans="5:7" ht="14.25">
      <c r="E643" s="140"/>
      <c r="F643" s="140"/>
      <c r="G643" s="140"/>
    </row>
    <row r="644" spans="5:7" ht="14.25">
      <c r="E644" s="140"/>
      <c r="F644" s="140"/>
      <c r="G644" s="140"/>
    </row>
    <row r="645" spans="5:7" ht="14.25">
      <c r="E645" s="140"/>
      <c r="F645" s="140"/>
      <c r="G645" s="140"/>
    </row>
    <row r="646" spans="5:7" ht="14.25">
      <c r="E646" s="140"/>
      <c r="F646" s="140"/>
      <c r="G646" s="140"/>
    </row>
    <row r="647" spans="5:7" ht="14.25">
      <c r="E647" s="140"/>
      <c r="F647" s="140"/>
      <c r="G647" s="140"/>
    </row>
    <row r="648" spans="5:7" ht="14.25">
      <c r="E648" s="140"/>
      <c r="F648" s="140"/>
      <c r="G648" s="140"/>
    </row>
    <row r="649" spans="5:7" ht="14.25">
      <c r="E649" s="140"/>
      <c r="F649" s="140"/>
      <c r="G649" s="140"/>
    </row>
    <row r="650" spans="5:7" ht="14.25">
      <c r="E650" s="140"/>
      <c r="F650" s="140"/>
      <c r="G650" s="140"/>
    </row>
    <row r="651" spans="5:7" ht="14.25">
      <c r="E651" s="140"/>
      <c r="F651" s="140"/>
      <c r="G651" s="140"/>
    </row>
    <row r="652" spans="5:7" ht="14.25">
      <c r="E652" s="140"/>
      <c r="F652" s="140"/>
      <c r="G652" s="140"/>
    </row>
    <row r="653" spans="5:7" ht="14.25">
      <c r="E653" s="140"/>
      <c r="F653" s="140"/>
      <c r="G653" s="140"/>
    </row>
    <row r="654" spans="5:7" ht="14.25">
      <c r="E654" s="140"/>
      <c r="F654" s="140"/>
      <c r="G654" s="140"/>
    </row>
    <row r="655" spans="5:7" ht="14.25">
      <c r="E655" s="140"/>
      <c r="F655" s="140"/>
      <c r="G655" s="140"/>
    </row>
    <row r="656" spans="5:7" ht="14.25">
      <c r="E656" s="140"/>
      <c r="F656" s="140"/>
      <c r="G656" s="140"/>
    </row>
    <row r="657" spans="5:7" ht="14.25">
      <c r="E657" s="140"/>
      <c r="F657" s="140"/>
      <c r="G657" s="140"/>
    </row>
    <row r="658" spans="5:7" ht="14.25">
      <c r="E658" s="140"/>
      <c r="F658" s="140"/>
      <c r="G658" s="140"/>
    </row>
    <row r="659" spans="5:7" ht="14.25">
      <c r="E659" s="140"/>
      <c r="F659" s="140"/>
      <c r="G659" s="140"/>
    </row>
    <row r="660" spans="5:7" ht="14.25">
      <c r="E660" s="140"/>
      <c r="F660" s="140"/>
      <c r="G660" s="140"/>
    </row>
    <row r="661" spans="5:7" ht="14.25">
      <c r="E661" s="140"/>
      <c r="F661" s="140"/>
      <c r="G661" s="140"/>
    </row>
    <row r="662" spans="5:7" ht="14.25">
      <c r="E662" s="140"/>
      <c r="F662" s="140"/>
      <c r="G662" s="140"/>
    </row>
    <row r="663" spans="5:7" ht="14.25">
      <c r="E663" s="140"/>
      <c r="F663" s="140"/>
      <c r="G663" s="140"/>
    </row>
    <row r="664" spans="5:7" ht="14.25">
      <c r="E664" s="140"/>
      <c r="F664" s="140"/>
      <c r="G664" s="140"/>
    </row>
    <row r="665" spans="5:7" ht="14.25">
      <c r="E665" s="140"/>
      <c r="F665" s="140"/>
      <c r="G665" s="140"/>
    </row>
    <row r="666" spans="5:7" ht="14.25">
      <c r="E666" s="140"/>
      <c r="F666" s="140"/>
      <c r="G666" s="140"/>
    </row>
    <row r="667" spans="5:7" ht="14.25">
      <c r="E667" s="140"/>
      <c r="F667" s="140"/>
      <c r="G667" s="140"/>
    </row>
    <row r="668" spans="5:7" ht="14.25">
      <c r="E668" s="140"/>
      <c r="F668" s="140"/>
      <c r="G668" s="140"/>
    </row>
    <row r="669" spans="5:7" ht="14.25">
      <c r="E669" s="140"/>
      <c r="F669" s="140"/>
      <c r="G669" s="140"/>
    </row>
    <row r="670" spans="5:7" ht="14.25">
      <c r="E670" s="140"/>
      <c r="F670" s="140"/>
      <c r="G670" s="140"/>
    </row>
    <row r="671" spans="5:7" ht="14.25">
      <c r="E671" s="140"/>
      <c r="F671" s="140"/>
      <c r="G671" s="140"/>
    </row>
    <row r="672" spans="5:7" ht="14.25">
      <c r="E672" s="140"/>
      <c r="F672" s="140"/>
      <c r="G672" s="140"/>
    </row>
    <row r="673" spans="5:7" ht="14.25">
      <c r="E673" s="140"/>
      <c r="F673" s="140"/>
      <c r="G673" s="140"/>
    </row>
    <row r="674" spans="5:7" ht="14.25">
      <c r="E674" s="140"/>
      <c r="F674" s="140"/>
      <c r="G674" s="140"/>
    </row>
    <row r="675" spans="5:7" ht="14.25">
      <c r="E675" s="140"/>
      <c r="F675" s="140"/>
      <c r="G675" s="140"/>
    </row>
    <row r="676" spans="5:7" ht="14.25">
      <c r="E676" s="140"/>
      <c r="F676" s="140"/>
      <c r="G676" s="140"/>
    </row>
    <row r="677" spans="5:7" ht="14.25">
      <c r="E677" s="140"/>
      <c r="F677" s="140"/>
      <c r="G677" s="140"/>
    </row>
    <row r="678" spans="5:7" ht="14.25">
      <c r="E678" s="140"/>
      <c r="F678" s="140"/>
      <c r="G678" s="140"/>
    </row>
    <row r="679" spans="5:7" ht="14.25">
      <c r="E679" s="140"/>
      <c r="F679" s="140"/>
      <c r="G679" s="140"/>
    </row>
    <row r="680" spans="5:7" ht="14.25">
      <c r="E680" s="140"/>
      <c r="F680" s="140"/>
      <c r="G680" s="140"/>
    </row>
    <row r="681" spans="5:7" ht="14.25">
      <c r="E681" s="140"/>
      <c r="F681" s="140"/>
      <c r="G681" s="140"/>
    </row>
    <row r="682" spans="5:7" ht="14.25">
      <c r="E682" s="140"/>
      <c r="F682" s="140"/>
      <c r="G682" s="140"/>
    </row>
    <row r="683" spans="5:7" ht="14.25">
      <c r="E683" s="140"/>
      <c r="F683" s="140"/>
      <c r="G683" s="140"/>
    </row>
    <row r="684" spans="5:7" ht="14.25">
      <c r="E684" s="140"/>
      <c r="F684" s="140"/>
      <c r="G684" s="140"/>
    </row>
    <row r="685" spans="5:7" ht="14.25">
      <c r="E685" s="140"/>
      <c r="F685" s="140"/>
      <c r="G685" s="140"/>
    </row>
    <row r="686" spans="5:7" ht="14.25">
      <c r="E686" s="140"/>
      <c r="F686" s="140"/>
      <c r="G686" s="140"/>
    </row>
    <row r="687" spans="5:7" ht="14.25">
      <c r="E687" s="140"/>
      <c r="F687" s="140"/>
      <c r="G687" s="140"/>
    </row>
    <row r="688" spans="5:7" ht="14.25">
      <c r="E688" s="140"/>
      <c r="F688" s="140"/>
      <c r="G688" s="140"/>
    </row>
    <row r="689" spans="5:7" ht="14.25">
      <c r="E689" s="140"/>
      <c r="F689" s="140"/>
      <c r="G689" s="140"/>
    </row>
    <row r="690" spans="5:7" ht="14.25">
      <c r="E690" s="140"/>
      <c r="F690" s="140"/>
      <c r="G690" s="140"/>
    </row>
    <row r="691" spans="5:7" ht="14.25">
      <c r="E691" s="140"/>
      <c r="F691" s="140"/>
      <c r="G691" s="140"/>
    </row>
    <row r="692" spans="5:7" ht="14.25">
      <c r="E692" s="140"/>
      <c r="F692" s="140"/>
      <c r="G692" s="140"/>
    </row>
    <row r="693" spans="5:7" ht="14.25">
      <c r="E693" s="140"/>
      <c r="F693" s="140"/>
      <c r="G693" s="140"/>
    </row>
    <row r="694" spans="5:7" ht="14.25">
      <c r="E694" s="140"/>
      <c r="F694" s="140"/>
      <c r="G694" s="140"/>
    </row>
    <row r="695" spans="5:7" ht="14.25">
      <c r="E695" s="140"/>
      <c r="F695" s="140"/>
      <c r="G695" s="140"/>
    </row>
    <row r="696" spans="5:7" ht="14.25">
      <c r="E696" s="140"/>
      <c r="F696" s="140"/>
      <c r="G696" s="140"/>
    </row>
    <row r="697" spans="5:7" ht="14.25">
      <c r="E697" s="140"/>
      <c r="F697" s="140"/>
      <c r="G697" s="140"/>
    </row>
    <row r="698" spans="5:7" ht="14.25">
      <c r="E698" s="140"/>
      <c r="F698" s="140"/>
      <c r="G698" s="140"/>
    </row>
    <row r="699" spans="5:7" ht="14.25">
      <c r="E699" s="140"/>
      <c r="F699" s="140"/>
      <c r="G699" s="140"/>
    </row>
    <row r="700" spans="5:7" ht="14.25">
      <c r="E700" s="140"/>
      <c r="F700" s="140"/>
      <c r="G700" s="140"/>
    </row>
    <row r="701" spans="5:7" ht="14.25">
      <c r="E701" s="140"/>
      <c r="F701" s="140"/>
      <c r="G701" s="140"/>
    </row>
    <row r="702" spans="5:7" ht="14.25">
      <c r="E702" s="140"/>
      <c r="F702" s="140"/>
      <c r="G702" s="140"/>
    </row>
    <row r="703" spans="5:7" ht="14.25">
      <c r="E703" s="140"/>
      <c r="F703" s="140"/>
      <c r="G703" s="140"/>
    </row>
    <row r="704" spans="5:7" ht="14.25">
      <c r="E704" s="140"/>
      <c r="F704" s="140"/>
      <c r="G704" s="140"/>
    </row>
    <row r="705" spans="5:7" ht="14.25">
      <c r="E705" s="140"/>
      <c r="F705" s="140"/>
      <c r="G705" s="140"/>
    </row>
    <row r="706" spans="5:7" ht="14.25">
      <c r="E706" s="140"/>
      <c r="F706" s="140"/>
      <c r="G706" s="140"/>
    </row>
    <row r="707" spans="5:7" ht="14.25">
      <c r="E707" s="140"/>
      <c r="F707" s="140"/>
      <c r="G707" s="140"/>
    </row>
    <row r="708" spans="5:7" ht="14.25">
      <c r="E708" s="140"/>
      <c r="F708" s="140"/>
      <c r="G708" s="140"/>
    </row>
    <row r="709" spans="5:7" ht="14.25">
      <c r="E709" s="140"/>
      <c r="F709" s="140"/>
      <c r="G709" s="140"/>
    </row>
    <row r="710" spans="5:7" ht="14.25">
      <c r="E710" s="140"/>
      <c r="F710" s="140"/>
      <c r="G710" s="140"/>
    </row>
    <row r="711" spans="5:7" ht="14.25">
      <c r="E711" s="140"/>
      <c r="F711" s="140"/>
      <c r="G711" s="140"/>
    </row>
    <row r="712" spans="5:7" ht="14.25">
      <c r="E712" s="140"/>
      <c r="F712" s="140"/>
      <c r="G712" s="140"/>
    </row>
    <row r="713" spans="5:7" ht="14.25">
      <c r="E713" s="140"/>
      <c r="F713" s="140"/>
      <c r="G713" s="140"/>
    </row>
    <row r="714" spans="5:7" ht="14.25">
      <c r="E714" s="140"/>
      <c r="F714" s="140"/>
      <c r="G714" s="140"/>
    </row>
    <row r="715" spans="5:7" ht="14.25">
      <c r="E715" s="140"/>
      <c r="F715" s="140"/>
      <c r="G715" s="140"/>
    </row>
    <row r="716" spans="5:7" ht="14.25">
      <c r="E716" s="140"/>
      <c r="F716" s="140"/>
      <c r="G716" s="140"/>
    </row>
    <row r="717" spans="5:7" ht="14.25">
      <c r="E717" s="140"/>
      <c r="F717" s="140"/>
      <c r="G717" s="140"/>
    </row>
    <row r="718" spans="5:7" ht="14.25">
      <c r="E718" s="140"/>
      <c r="F718" s="140"/>
      <c r="G718" s="140"/>
    </row>
    <row r="719" spans="5:7" ht="14.25">
      <c r="E719" s="140"/>
      <c r="F719" s="140"/>
      <c r="G719" s="140"/>
    </row>
    <row r="720" spans="5:7" ht="14.25">
      <c r="E720" s="140"/>
      <c r="F720" s="140"/>
      <c r="G720" s="140"/>
    </row>
    <row r="721" spans="5:7" ht="14.25">
      <c r="E721" s="140"/>
      <c r="F721" s="140"/>
      <c r="G721" s="140"/>
    </row>
    <row r="722" spans="5:7" ht="14.25">
      <c r="E722" s="140"/>
      <c r="F722" s="140"/>
      <c r="G722" s="140"/>
    </row>
    <row r="723" spans="5:7" ht="14.25">
      <c r="E723" s="140"/>
      <c r="F723" s="140"/>
      <c r="G723" s="140"/>
    </row>
    <row r="724" spans="5:7" ht="14.25">
      <c r="E724" s="140"/>
      <c r="F724" s="140"/>
      <c r="G724" s="140"/>
    </row>
    <row r="725" spans="5:7" ht="14.25">
      <c r="E725" s="140"/>
      <c r="F725" s="140"/>
      <c r="G725" s="140"/>
    </row>
    <row r="726" spans="5:7" ht="14.25">
      <c r="E726" s="140"/>
      <c r="F726" s="140"/>
      <c r="G726" s="140"/>
    </row>
    <row r="727" spans="5:7" ht="14.25">
      <c r="E727" s="140"/>
      <c r="F727" s="140"/>
      <c r="G727" s="140"/>
    </row>
    <row r="728" spans="5:7" ht="14.25">
      <c r="E728" s="140"/>
      <c r="F728" s="140"/>
      <c r="G728" s="140"/>
    </row>
    <row r="729" spans="5:7" ht="14.25">
      <c r="E729" s="140"/>
      <c r="F729" s="140"/>
      <c r="G729" s="140"/>
    </row>
    <row r="730" spans="5:7" ht="14.25">
      <c r="E730" s="140"/>
      <c r="F730" s="140"/>
      <c r="G730" s="140"/>
    </row>
    <row r="731" spans="5:7" ht="14.25">
      <c r="E731" s="140"/>
      <c r="F731" s="140"/>
      <c r="G731" s="140"/>
    </row>
    <row r="732" spans="5:7" ht="14.25">
      <c r="E732" s="140"/>
      <c r="F732" s="140"/>
      <c r="G732" s="140"/>
    </row>
    <row r="733" spans="5:7" ht="14.25">
      <c r="E733" s="140"/>
      <c r="F733" s="140"/>
      <c r="G733" s="140"/>
    </row>
    <row r="734" spans="5:7" ht="14.25">
      <c r="E734" s="140"/>
      <c r="F734" s="140"/>
      <c r="G734" s="140"/>
    </row>
    <row r="735" spans="5:7" ht="14.25">
      <c r="E735" s="140"/>
      <c r="F735" s="140"/>
      <c r="G735" s="140"/>
    </row>
    <row r="736" spans="5:7" ht="14.25">
      <c r="E736" s="140"/>
      <c r="F736" s="140"/>
      <c r="G736" s="140"/>
    </row>
    <row r="737" spans="5:7" ht="14.25">
      <c r="E737" s="140"/>
      <c r="F737" s="140"/>
      <c r="G737" s="140"/>
    </row>
    <row r="738" spans="5:7" ht="14.25">
      <c r="E738" s="140"/>
      <c r="F738" s="140"/>
      <c r="G738" s="140"/>
    </row>
    <row r="739" spans="5:7" ht="14.25">
      <c r="E739" s="140"/>
      <c r="F739" s="140"/>
      <c r="G739" s="140"/>
    </row>
    <row r="740" spans="5:7" ht="14.25">
      <c r="E740" s="140"/>
      <c r="F740" s="140"/>
      <c r="G740" s="140"/>
    </row>
    <row r="741" spans="5:7" ht="14.25">
      <c r="E741" s="140"/>
      <c r="F741" s="140"/>
      <c r="G741" s="140"/>
    </row>
    <row r="742" spans="5:7" ht="14.25">
      <c r="E742" s="140"/>
      <c r="F742" s="140"/>
      <c r="G742" s="140"/>
    </row>
    <row r="743" spans="5:7" ht="14.25">
      <c r="E743" s="140"/>
      <c r="F743" s="140"/>
      <c r="G743" s="140"/>
    </row>
    <row r="744" spans="5:7" ht="14.25">
      <c r="E744" s="140"/>
      <c r="F744" s="140"/>
      <c r="G744" s="140"/>
    </row>
    <row r="745" spans="5:7" ht="14.25">
      <c r="E745" s="140"/>
      <c r="F745" s="140"/>
      <c r="G745" s="140"/>
    </row>
    <row r="746" spans="5:7" ht="14.25">
      <c r="E746" s="140"/>
      <c r="F746" s="140"/>
      <c r="G746" s="140"/>
    </row>
    <row r="747" spans="5:7" ht="14.25">
      <c r="E747" s="140"/>
      <c r="F747" s="140"/>
      <c r="G747" s="140"/>
    </row>
    <row r="748" spans="5:7" ht="14.25">
      <c r="E748" s="140"/>
      <c r="F748" s="140"/>
      <c r="G748" s="140"/>
    </row>
    <row r="749" spans="5:7" ht="14.25">
      <c r="E749" s="140"/>
      <c r="F749" s="140"/>
      <c r="G749" s="140"/>
    </row>
    <row r="750" spans="5:7" ht="14.25">
      <c r="E750" s="140"/>
      <c r="F750" s="140"/>
      <c r="G750" s="140"/>
    </row>
    <row r="751" spans="5:7" ht="14.25">
      <c r="E751" s="140"/>
      <c r="F751" s="140"/>
      <c r="G751" s="140"/>
    </row>
    <row r="752" spans="5:7" ht="14.25">
      <c r="E752" s="140"/>
      <c r="F752" s="140"/>
      <c r="G752" s="140"/>
    </row>
    <row r="753" spans="5:7" ht="14.25">
      <c r="E753" s="140"/>
      <c r="F753" s="140"/>
      <c r="G753" s="140"/>
    </row>
    <row r="754" spans="5:7" ht="14.25">
      <c r="E754" s="140"/>
      <c r="F754" s="140"/>
      <c r="G754" s="140"/>
    </row>
    <row r="755" spans="5:7" ht="14.25">
      <c r="E755" s="140"/>
      <c r="F755" s="140"/>
      <c r="G755" s="140"/>
    </row>
    <row r="756" spans="5:7" ht="14.25">
      <c r="E756" s="140"/>
      <c r="F756" s="140"/>
      <c r="G756" s="140"/>
    </row>
    <row r="757" spans="5:7" ht="14.25">
      <c r="E757" s="140"/>
      <c r="F757" s="140"/>
      <c r="G757" s="140"/>
    </row>
    <row r="758" spans="5:7" ht="14.25">
      <c r="E758" s="140"/>
      <c r="F758" s="140"/>
      <c r="G758" s="140"/>
    </row>
    <row r="759" spans="5:7" ht="14.25">
      <c r="E759" s="140"/>
      <c r="F759" s="140"/>
      <c r="G759" s="140"/>
    </row>
    <row r="760" spans="5:7" ht="14.25">
      <c r="E760" s="140"/>
      <c r="F760" s="140"/>
      <c r="G760" s="140"/>
    </row>
    <row r="761" spans="5:7" ht="14.25">
      <c r="E761" s="140"/>
      <c r="F761" s="140"/>
      <c r="G761" s="140"/>
    </row>
    <row r="762" spans="5:7" ht="14.25">
      <c r="E762" s="140"/>
      <c r="F762" s="140"/>
      <c r="G762" s="140"/>
    </row>
    <row r="763" spans="5:7" ht="14.25">
      <c r="E763" s="140"/>
      <c r="F763" s="140"/>
      <c r="G763" s="140"/>
    </row>
    <row r="764" spans="5:7" ht="14.25">
      <c r="E764" s="140"/>
      <c r="F764" s="140"/>
      <c r="G764" s="140"/>
    </row>
    <row r="765" spans="5:7" ht="14.25">
      <c r="E765" s="140"/>
      <c r="F765" s="140"/>
      <c r="G765" s="140"/>
    </row>
    <row r="766" spans="5:7" ht="14.25">
      <c r="E766" s="140"/>
      <c r="F766" s="140"/>
      <c r="G766" s="140"/>
    </row>
    <row r="767" spans="5:7" ht="14.25">
      <c r="E767" s="140"/>
      <c r="F767" s="140"/>
      <c r="G767" s="140"/>
    </row>
    <row r="768" spans="5:7" ht="14.25">
      <c r="E768" s="140"/>
      <c r="F768" s="140"/>
      <c r="G768" s="140"/>
    </row>
    <row r="769" spans="5:7" ht="14.25">
      <c r="E769" s="140"/>
      <c r="F769" s="140"/>
      <c r="G769" s="140"/>
    </row>
    <row r="770" spans="5:7" ht="14.25">
      <c r="E770" s="140"/>
      <c r="F770" s="140"/>
      <c r="G770" s="140"/>
    </row>
    <row r="771" spans="5:7" ht="14.25">
      <c r="E771" s="140"/>
      <c r="F771" s="140"/>
      <c r="G771" s="140"/>
    </row>
    <row r="772" spans="5:7" ht="14.25">
      <c r="E772" s="140"/>
      <c r="F772" s="140"/>
      <c r="G772" s="140"/>
    </row>
    <row r="773" spans="5:7" ht="14.25">
      <c r="E773" s="140"/>
      <c r="F773" s="140"/>
      <c r="G773" s="140"/>
    </row>
    <row r="774" spans="5:7" ht="14.25">
      <c r="E774" s="140"/>
      <c r="F774" s="140"/>
      <c r="G774" s="140"/>
    </row>
    <row r="775" spans="5:7" ht="14.25">
      <c r="E775" s="140"/>
      <c r="F775" s="140"/>
      <c r="G775" s="140"/>
    </row>
    <row r="776" spans="5:7" ht="14.25">
      <c r="E776" s="140"/>
      <c r="F776" s="140"/>
      <c r="G776" s="140"/>
    </row>
    <row r="777" spans="5:7" ht="14.25">
      <c r="E777" s="140"/>
      <c r="F777" s="140"/>
      <c r="G777" s="140"/>
    </row>
    <row r="778" spans="5:7" ht="14.25">
      <c r="E778" s="140"/>
      <c r="F778" s="140"/>
      <c r="G778" s="140"/>
    </row>
    <row r="779" spans="5:7" ht="14.25">
      <c r="E779" s="140"/>
      <c r="F779" s="140"/>
      <c r="G779" s="140"/>
    </row>
    <row r="780" spans="5:7" ht="14.25">
      <c r="E780" s="140"/>
      <c r="F780" s="140"/>
      <c r="G780" s="140"/>
    </row>
    <row r="781" spans="5:7" ht="14.25">
      <c r="E781" s="140"/>
      <c r="F781" s="140"/>
      <c r="G781" s="140"/>
    </row>
    <row r="782" spans="5:7" ht="14.25">
      <c r="E782" s="140"/>
      <c r="F782" s="140"/>
      <c r="G782" s="140"/>
    </row>
    <row r="783" spans="5:7" ht="14.25">
      <c r="E783" s="140"/>
      <c r="F783" s="140"/>
      <c r="G783" s="140"/>
    </row>
    <row r="784" spans="5:7" ht="14.25">
      <c r="E784" s="140"/>
      <c r="F784" s="140"/>
      <c r="G784" s="140"/>
    </row>
    <row r="785" spans="5:7" ht="14.25">
      <c r="E785" s="140"/>
      <c r="F785" s="140"/>
      <c r="G785" s="140"/>
    </row>
    <row r="786" spans="5:7" ht="14.25">
      <c r="E786" s="140"/>
      <c r="F786" s="140"/>
      <c r="G786" s="140"/>
    </row>
    <row r="787" spans="5:7" ht="14.25">
      <c r="E787" s="140"/>
      <c r="F787" s="140"/>
      <c r="G787" s="140"/>
    </row>
    <row r="788" spans="5:7" ht="14.25">
      <c r="E788" s="140"/>
      <c r="F788" s="140"/>
      <c r="G788" s="140"/>
    </row>
    <row r="789" spans="5:7" ht="14.25">
      <c r="E789" s="140"/>
      <c r="F789" s="140"/>
      <c r="G789" s="140"/>
    </row>
    <row r="790" spans="5:7" ht="14.25">
      <c r="E790" s="140"/>
      <c r="F790" s="140"/>
      <c r="G790" s="140"/>
    </row>
    <row r="791" spans="5:7" ht="14.25">
      <c r="E791" s="140"/>
      <c r="F791" s="140"/>
      <c r="G791" s="140"/>
    </row>
    <row r="792" spans="5:7" ht="14.25">
      <c r="E792" s="140"/>
      <c r="F792" s="140"/>
      <c r="G792" s="140"/>
    </row>
    <row r="793" spans="5:7" ht="14.25">
      <c r="E793" s="140"/>
      <c r="F793" s="140"/>
      <c r="G793" s="140"/>
    </row>
    <row r="794" spans="5:7" ht="14.25">
      <c r="E794" s="140"/>
      <c r="F794" s="140"/>
      <c r="G794" s="140"/>
    </row>
    <row r="795" spans="5:7" ht="14.25">
      <c r="E795" s="140"/>
      <c r="F795" s="140"/>
      <c r="G795" s="140"/>
    </row>
    <row r="796" spans="5:7" ht="14.25">
      <c r="E796" s="140"/>
      <c r="F796" s="140"/>
      <c r="G796" s="140"/>
    </row>
    <row r="797" spans="5:7" ht="14.25">
      <c r="E797" s="140"/>
      <c r="F797" s="140"/>
      <c r="G797" s="140"/>
    </row>
    <row r="798" spans="5:7" ht="14.25">
      <c r="E798" s="140"/>
      <c r="F798" s="140"/>
      <c r="G798" s="140"/>
    </row>
    <row r="799" spans="5:7" ht="14.25">
      <c r="E799" s="140"/>
      <c r="F799" s="140"/>
      <c r="G799" s="140"/>
    </row>
    <row r="800" spans="5:7" ht="14.25">
      <c r="E800" s="140"/>
      <c r="F800" s="140"/>
      <c r="G800" s="140"/>
    </row>
    <row r="801" spans="5:7" ht="14.25">
      <c r="E801" s="140"/>
      <c r="F801" s="140"/>
      <c r="G801" s="140"/>
    </row>
    <row r="802" spans="5:7" ht="14.25">
      <c r="E802" s="140"/>
      <c r="F802" s="140"/>
      <c r="G802" s="140"/>
    </row>
    <row r="803" spans="5:7" ht="14.25">
      <c r="E803" s="140"/>
      <c r="F803" s="140"/>
      <c r="G803" s="140"/>
    </row>
    <row r="804" spans="5:7" ht="14.25">
      <c r="E804" s="140"/>
      <c r="F804" s="140"/>
      <c r="G804" s="140"/>
    </row>
    <row r="805" spans="5:7" ht="14.25">
      <c r="E805" s="140"/>
      <c r="F805" s="140"/>
      <c r="G805" s="140"/>
    </row>
    <row r="806" spans="5:7" ht="14.25">
      <c r="E806" s="140"/>
      <c r="F806" s="140"/>
      <c r="G806" s="140"/>
    </row>
    <row r="807" spans="5:7" ht="14.25">
      <c r="E807" s="140"/>
      <c r="F807" s="140"/>
      <c r="G807" s="140"/>
    </row>
    <row r="808" spans="5:7" ht="14.25">
      <c r="E808" s="140"/>
      <c r="F808" s="140"/>
      <c r="G808" s="140"/>
    </row>
    <row r="809" spans="5:7" ht="14.25">
      <c r="E809" s="140"/>
      <c r="F809" s="140"/>
      <c r="G809" s="140"/>
    </row>
    <row r="810" spans="5:7" ht="14.25">
      <c r="E810" s="140"/>
      <c r="F810" s="140"/>
      <c r="G810" s="140"/>
    </row>
    <row r="811" spans="5:7" ht="14.25">
      <c r="E811" s="140"/>
      <c r="F811" s="140"/>
      <c r="G811" s="140"/>
    </row>
    <row r="812" spans="5:7" ht="14.25">
      <c r="E812" s="140"/>
      <c r="F812" s="140"/>
      <c r="G812" s="140"/>
    </row>
    <row r="813" spans="5:7" ht="14.25">
      <c r="E813" s="140"/>
      <c r="F813" s="140"/>
      <c r="G813" s="140"/>
    </row>
    <row r="814" spans="5:7" ht="14.25">
      <c r="E814" s="140"/>
      <c r="F814" s="140"/>
      <c r="G814" s="140"/>
    </row>
    <row r="815" spans="5:7" ht="14.25">
      <c r="E815" s="140"/>
      <c r="F815" s="140"/>
      <c r="G815" s="140"/>
    </row>
    <row r="816" spans="5:7" ht="14.25">
      <c r="E816" s="140"/>
      <c r="F816" s="140"/>
      <c r="G816" s="140"/>
    </row>
    <row r="817" spans="5:7" ht="14.25">
      <c r="E817" s="140"/>
      <c r="F817" s="140"/>
      <c r="G817" s="140"/>
    </row>
    <row r="818" spans="5:7" ht="14.25">
      <c r="E818" s="140"/>
      <c r="F818" s="140"/>
      <c r="G818" s="140"/>
    </row>
    <row r="819" spans="5:7" ht="14.25">
      <c r="E819" s="140"/>
      <c r="F819" s="140"/>
      <c r="G819" s="140"/>
    </row>
    <row r="820" spans="5:7" ht="14.25">
      <c r="E820" s="140"/>
      <c r="F820" s="140"/>
      <c r="G820" s="140"/>
    </row>
    <row r="821" spans="5:7" ht="14.25">
      <c r="E821" s="140"/>
      <c r="F821" s="140"/>
      <c r="G821" s="140"/>
    </row>
    <row r="822" spans="5:7" ht="14.25">
      <c r="E822" s="140"/>
      <c r="F822" s="140"/>
      <c r="G822" s="140"/>
    </row>
    <row r="823" spans="5:7" ht="14.25">
      <c r="E823" s="140"/>
      <c r="F823" s="140"/>
      <c r="G823" s="140"/>
    </row>
    <row r="824" spans="5:7" ht="14.25">
      <c r="E824" s="140"/>
      <c r="F824" s="140"/>
      <c r="G824" s="140"/>
    </row>
    <row r="825" spans="5:7" ht="14.25">
      <c r="E825" s="140"/>
      <c r="F825" s="140"/>
      <c r="G825" s="140"/>
    </row>
    <row r="826" spans="5:7" ht="14.25">
      <c r="E826" s="140"/>
      <c r="F826" s="140"/>
      <c r="G826" s="140"/>
    </row>
    <row r="827" spans="5:7" ht="14.25">
      <c r="E827" s="140"/>
      <c r="F827" s="140"/>
      <c r="G827" s="140"/>
    </row>
    <row r="828" spans="5:7" ht="14.25">
      <c r="E828" s="140"/>
      <c r="F828" s="140"/>
      <c r="G828" s="140"/>
    </row>
    <row r="829" spans="5:7" ht="14.25">
      <c r="E829" s="140"/>
      <c r="F829" s="140"/>
      <c r="G829" s="140"/>
    </row>
    <row r="830" spans="5:7" ht="14.25">
      <c r="E830" s="140"/>
      <c r="F830" s="140"/>
      <c r="G830" s="140"/>
    </row>
    <row r="831" spans="5:7" ht="14.25">
      <c r="E831" s="140"/>
      <c r="F831" s="140"/>
      <c r="G831" s="140"/>
    </row>
    <row r="832" spans="5:7" ht="14.25">
      <c r="E832" s="140"/>
      <c r="F832" s="140"/>
      <c r="G832" s="140"/>
    </row>
    <row r="833" spans="5:7" ht="14.25">
      <c r="E833" s="140"/>
      <c r="F833" s="140"/>
      <c r="G833" s="140"/>
    </row>
    <row r="834" spans="5:7" ht="14.25">
      <c r="E834" s="140"/>
      <c r="F834" s="140"/>
      <c r="G834" s="140"/>
    </row>
    <row r="835" spans="5:7" ht="14.25">
      <c r="E835" s="140"/>
      <c r="F835" s="140"/>
      <c r="G835" s="140"/>
    </row>
    <row r="836" spans="5:7" ht="14.25">
      <c r="E836" s="140"/>
      <c r="F836" s="140"/>
      <c r="G836" s="140"/>
    </row>
    <row r="837" spans="5:7" ht="14.25">
      <c r="E837" s="140"/>
      <c r="F837" s="140"/>
      <c r="G837" s="140"/>
    </row>
    <row r="838" spans="5:7" ht="14.25">
      <c r="E838" s="140"/>
      <c r="F838" s="140"/>
      <c r="G838" s="140"/>
    </row>
    <row r="839" spans="5:7" ht="14.25">
      <c r="E839" s="140"/>
      <c r="F839" s="140"/>
      <c r="G839" s="140"/>
    </row>
    <row r="840" spans="5:7" ht="14.25">
      <c r="E840" s="140"/>
      <c r="F840" s="140"/>
      <c r="G840" s="140"/>
    </row>
    <row r="841" spans="5:7" ht="14.25">
      <c r="E841" s="140"/>
      <c r="F841" s="140"/>
      <c r="G841" s="140"/>
    </row>
    <row r="842" spans="5:7" ht="14.25">
      <c r="E842" s="140"/>
      <c r="F842" s="140"/>
      <c r="G842" s="140"/>
    </row>
    <row r="843" spans="5:7" ht="14.25">
      <c r="E843" s="140"/>
      <c r="F843" s="140"/>
      <c r="G843" s="140"/>
    </row>
    <row r="844" spans="5:7" ht="14.25">
      <c r="E844" s="140"/>
      <c r="F844" s="140"/>
      <c r="G844" s="140"/>
    </row>
    <row r="845" spans="5:7" ht="14.25">
      <c r="E845" s="140"/>
      <c r="F845" s="140"/>
      <c r="G845" s="140"/>
    </row>
    <row r="846" spans="5:7" ht="14.25">
      <c r="E846" s="140"/>
      <c r="F846" s="140"/>
      <c r="G846" s="140"/>
    </row>
    <row r="847" spans="5:7" ht="14.25">
      <c r="E847" s="140"/>
      <c r="F847" s="140"/>
      <c r="G847" s="140"/>
    </row>
    <row r="848" spans="5:7" ht="14.25">
      <c r="E848" s="140"/>
      <c r="F848" s="140"/>
      <c r="G848" s="140"/>
    </row>
    <row r="849" spans="5:7" ht="14.25">
      <c r="E849" s="140"/>
      <c r="F849" s="140"/>
      <c r="G849" s="140"/>
    </row>
    <row r="850" spans="5:7" ht="14.25">
      <c r="E850" s="140"/>
      <c r="F850" s="140"/>
      <c r="G850" s="140"/>
    </row>
    <row r="851" spans="5:7" ht="14.25">
      <c r="E851" s="140"/>
      <c r="F851" s="140"/>
      <c r="G851" s="140"/>
    </row>
    <row r="852" spans="5:7" ht="14.25">
      <c r="E852" s="140"/>
      <c r="F852" s="140"/>
      <c r="G852" s="140"/>
    </row>
    <row r="853" spans="5:7" ht="14.25">
      <c r="E853" s="140"/>
      <c r="F853" s="140"/>
      <c r="G853" s="140"/>
    </row>
    <row r="854" spans="5:7" ht="14.25">
      <c r="E854" s="140"/>
      <c r="F854" s="140"/>
      <c r="G854" s="140"/>
    </row>
    <row r="855" spans="5:7" ht="14.25">
      <c r="E855" s="140"/>
      <c r="F855" s="140"/>
      <c r="G855" s="140"/>
    </row>
    <row r="856" spans="5:7" ht="14.25">
      <c r="E856" s="140"/>
      <c r="F856" s="140"/>
      <c r="G856" s="140"/>
    </row>
    <row r="857" spans="5:7" ht="14.25">
      <c r="E857" s="140"/>
      <c r="F857" s="140"/>
      <c r="G857" s="140"/>
    </row>
    <row r="858" spans="5:7" ht="14.25">
      <c r="E858" s="140"/>
      <c r="F858" s="140"/>
      <c r="G858" s="140"/>
    </row>
    <row r="859" spans="5:7" ht="14.25">
      <c r="E859" s="140"/>
      <c r="F859" s="140"/>
      <c r="G859" s="140"/>
    </row>
    <row r="860" spans="5:7" ht="14.25">
      <c r="E860" s="140"/>
      <c r="F860" s="140"/>
      <c r="G860" s="140"/>
    </row>
    <row r="861" spans="5:7" ht="14.25">
      <c r="E861" s="140"/>
      <c r="F861" s="140"/>
      <c r="G861" s="140"/>
    </row>
    <row r="862" spans="5:7" ht="14.25">
      <c r="E862" s="140"/>
      <c r="F862" s="140"/>
      <c r="G862" s="140"/>
    </row>
    <row r="863" spans="5:7" ht="14.25">
      <c r="E863" s="140"/>
      <c r="F863" s="140"/>
      <c r="G863" s="140"/>
    </row>
    <row r="864" spans="5:7" ht="14.25">
      <c r="E864" s="140"/>
      <c r="F864" s="140"/>
      <c r="G864" s="140"/>
    </row>
    <row r="865" spans="5:7" ht="14.25">
      <c r="E865" s="140"/>
      <c r="F865" s="140"/>
      <c r="G865" s="140"/>
    </row>
    <row r="866" spans="5:7" ht="14.25">
      <c r="E866" s="140"/>
      <c r="F866" s="140"/>
      <c r="G866" s="140"/>
    </row>
    <row r="867" spans="5:7" ht="14.25">
      <c r="E867" s="140"/>
      <c r="F867" s="140"/>
      <c r="G867" s="140"/>
    </row>
    <row r="868" spans="5:7" ht="14.25">
      <c r="E868" s="140"/>
      <c r="F868" s="140"/>
      <c r="G868" s="140"/>
    </row>
    <row r="869" spans="5:7" ht="14.25">
      <c r="E869" s="140"/>
      <c r="F869" s="140"/>
      <c r="G869" s="140"/>
    </row>
    <row r="870" spans="5:7" ht="14.25">
      <c r="E870" s="140"/>
      <c r="F870" s="140"/>
      <c r="G870" s="140"/>
    </row>
    <row r="871" spans="5:7" ht="14.25">
      <c r="E871" s="140"/>
      <c r="F871" s="140"/>
      <c r="G871" s="140"/>
    </row>
    <row r="872" spans="5:7" ht="14.25">
      <c r="E872" s="140"/>
      <c r="F872" s="140"/>
      <c r="G872" s="140"/>
    </row>
    <row r="873" spans="5:7" ht="14.25">
      <c r="E873" s="140"/>
      <c r="F873" s="140"/>
      <c r="G873" s="140"/>
    </row>
    <row r="874" spans="5:7" ht="14.25">
      <c r="E874" s="140"/>
      <c r="F874" s="140"/>
      <c r="G874" s="140"/>
    </row>
    <row r="875" spans="5:7" ht="14.25">
      <c r="E875" s="140"/>
      <c r="F875" s="140"/>
      <c r="G875" s="140"/>
    </row>
    <row r="876" spans="5:7" ht="14.25">
      <c r="E876" s="140"/>
      <c r="F876" s="140"/>
      <c r="G876" s="140"/>
    </row>
    <row r="877" spans="5:7" ht="14.25">
      <c r="E877" s="140"/>
      <c r="F877" s="140"/>
      <c r="G877" s="140"/>
    </row>
    <row r="878" spans="5:7" ht="14.25">
      <c r="E878" s="140"/>
      <c r="F878" s="140"/>
      <c r="G878" s="140"/>
    </row>
    <row r="879" spans="5:7" ht="14.25">
      <c r="E879" s="140"/>
      <c r="F879" s="140"/>
      <c r="G879" s="140"/>
    </row>
    <row r="880" spans="5:7" ht="14.25">
      <c r="E880" s="140"/>
      <c r="F880" s="140"/>
      <c r="G880" s="140"/>
    </row>
    <row r="881" spans="5:7" ht="14.25">
      <c r="E881" s="140"/>
      <c r="F881" s="140"/>
      <c r="G881" s="140"/>
    </row>
    <row r="882" spans="5:7" ht="14.25">
      <c r="E882" s="140"/>
      <c r="F882" s="140"/>
      <c r="G882" s="140"/>
    </row>
    <row r="883" spans="5:7" ht="14.25">
      <c r="E883" s="140"/>
      <c r="F883" s="140"/>
      <c r="G883" s="140"/>
    </row>
    <row r="884" spans="5:7" ht="14.25">
      <c r="E884" s="140"/>
      <c r="F884" s="140"/>
      <c r="G884" s="140"/>
    </row>
    <row r="885" spans="5:7" ht="14.25">
      <c r="E885" s="140"/>
      <c r="F885" s="140"/>
      <c r="G885" s="140"/>
    </row>
    <row r="886" spans="5:7" ht="14.25">
      <c r="E886" s="140"/>
      <c r="F886" s="140"/>
      <c r="G886" s="140"/>
    </row>
    <row r="887" spans="5:7" ht="14.25">
      <c r="E887" s="140"/>
      <c r="F887" s="140"/>
      <c r="G887" s="140"/>
    </row>
    <row r="888" spans="5:7" ht="14.25">
      <c r="E888" s="140"/>
      <c r="F888" s="140"/>
      <c r="G888" s="140"/>
    </row>
    <row r="889" spans="5:7" ht="14.25">
      <c r="E889" s="140"/>
      <c r="F889" s="140"/>
      <c r="G889" s="140"/>
    </row>
  </sheetData>
  <mergeCells count="84">
    <mergeCell ref="B210:G210"/>
    <mergeCell ref="B211:B212"/>
    <mergeCell ref="C211:C212"/>
    <mergeCell ref="D211:D212"/>
    <mergeCell ref="E211:E212"/>
    <mergeCell ref="F211:F212"/>
    <mergeCell ref="G211:G212"/>
    <mergeCell ref="B198:G198"/>
    <mergeCell ref="B199:B200"/>
    <mergeCell ref="C199:C200"/>
    <mergeCell ref="D199:D200"/>
    <mergeCell ref="E199:E200"/>
    <mergeCell ref="F199:F200"/>
    <mergeCell ref="G199:G200"/>
    <mergeCell ref="B162:G162"/>
    <mergeCell ref="B163:B164"/>
    <mergeCell ref="C163:C164"/>
    <mergeCell ref="D163:D164"/>
    <mergeCell ref="E163:E164"/>
    <mergeCell ref="F163:F164"/>
    <mergeCell ref="G163:G164"/>
    <mergeCell ref="B116:G116"/>
    <mergeCell ref="B117:B118"/>
    <mergeCell ref="C117:C118"/>
    <mergeCell ref="D117:D118"/>
    <mergeCell ref="E117:E118"/>
    <mergeCell ref="F117:F118"/>
    <mergeCell ref="G117:G118"/>
    <mergeCell ref="B78:G78"/>
    <mergeCell ref="B79:B80"/>
    <mergeCell ref="C79:C80"/>
    <mergeCell ref="D79:D80"/>
    <mergeCell ref="E79:E80"/>
    <mergeCell ref="F79:F80"/>
    <mergeCell ref="G79:G80"/>
    <mergeCell ref="B40:G40"/>
    <mergeCell ref="B41:B42"/>
    <mergeCell ref="C41:C42"/>
    <mergeCell ref="D41:D42"/>
    <mergeCell ref="E41:E42"/>
    <mergeCell ref="F41:F42"/>
    <mergeCell ref="G41:G42"/>
    <mergeCell ref="B2:G2"/>
    <mergeCell ref="B3:B4"/>
    <mergeCell ref="C3:C4"/>
    <mergeCell ref="D3:D4"/>
    <mergeCell ref="E3:E4"/>
    <mergeCell ref="F3:F4"/>
    <mergeCell ref="G3:G4"/>
    <mergeCell ref="B396:G396"/>
    <mergeCell ref="B397:B398"/>
    <mergeCell ref="C397:C398"/>
    <mergeCell ref="D397:D398"/>
    <mergeCell ref="E397:E398"/>
    <mergeCell ref="F397:F398"/>
    <mergeCell ref="G397:G398"/>
    <mergeCell ref="B443:G443"/>
    <mergeCell ref="B444:B445"/>
    <mergeCell ref="C444:C445"/>
    <mergeCell ref="D444:D445"/>
    <mergeCell ref="E444:E445"/>
    <mergeCell ref="F444:F445"/>
    <mergeCell ref="G444:G445"/>
    <mergeCell ref="B360:G360"/>
    <mergeCell ref="B361:B362"/>
    <mergeCell ref="C361:C362"/>
    <mergeCell ref="D361:D362"/>
    <mergeCell ref="E361:E362"/>
    <mergeCell ref="F361:F362"/>
    <mergeCell ref="G361:G362"/>
    <mergeCell ref="B301:G301"/>
    <mergeCell ref="B302:B303"/>
    <mergeCell ref="C302:C303"/>
    <mergeCell ref="D302:D303"/>
    <mergeCell ref="E302:E303"/>
    <mergeCell ref="F302:F303"/>
    <mergeCell ref="G302:G303"/>
    <mergeCell ref="B259:G259"/>
    <mergeCell ref="B260:B261"/>
    <mergeCell ref="C260:C261"/>
    <mergeCell ref="D260:D261"/>
    <mergeCell ref="E260:E261"/>
    <mergeCell ref="F260:F261"/>
    <mergeCell ref="G260:G261"/>
  </mergeCells>
  <hyperlinks>
    <hyperlink ref="B3" r:id="rId1" xr:uid="{00000000-0004-0000-01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Z1000"/>
  <sheetViews>
    <sheetView workbookViewId="0"/>
  </sheetViews>
  <sheetFormatPr defaultColWidth="12.625" defaultRowHeight="15" customHeight="1"/>
  <cols>
    <col min="1" max="1" width="7.875" customWidth="1"/>
    <col min="2" max="2" width="8.5" customWidth="1"/>
    <col min="3" max="3" width="47.75" customWidth="1"/>
    <col min="4" max="4" width="30.25" customWidth="1"/>
    <col min="5" max="6" width="16.375" customWidth="1"/>
    <col min="7" max="7" width="18.125" customWidth="1"/>
    <col min="8" max="9" width="7.875" customWidth="1"/>
    <col min="10" max="10" width="8.375" customWidth="1"/>
    <col min="11" max="26" width="7.875" customWidth="1"/>
  </cols>
  <sheetData>
    <row r="2" spans="1:7" ht="24" customHeight="1">
      <c r="B2" s="191" t="s">
        <v>3</v>
      </c>
      <c r="C2" s="192"/>
      <c r="D2" s="192"/>
      <c r="E2" s="192"/>
      <c r="F2" s="192"/>
      <c r="G2" s="193"/>
    </row>
    <row r="3" spans="1:7" ht="24" customHeight="1">
      <c r="B3" s="194" t="s">
        <v>1</v>
      </c>
      <c r="C3" s="196" t="s">
        <v>2</v>
      </c>
      <c r="D3" s="198" t="s">
        <v>4</v>
      </c>
      <c r="E3" s="216" t="s">
        <v>5</v>
      </c>
      <c r="F3" s="217" t="s">
        <v>6</v>
      </c>
      <c r="G3" s="196" t="s">
        <v>7</v>
      </c>
    </row>
    <row r="4" spans="1:7" ht="24" customHeight="1">
      <c r="B4" s="195"/>
      <c r="C4" s="197"/>
      <c r="D4" s="199"/>
      <c r="E4" s="201"/>
      <c r="F4" s="195"/>
      <c r="G4" s="197"/>
    </row>
    <row r="5" spans="1:7" ht="24" customHeight="1">
      <c r="A5" s="21"/>
      <c r="B5" s="23"/>
      <c r="C5" s="24" t="s">
        <v>33</v>
      </c>
      <c r="D5" s="23"/>
      <c r="E5" s="26"/>
      <c r="F5" s="28"/>
      <c r="G5" s="23"/>
    </row>
    <row r="6" spans="1:7" ht="24" customHeight="1">
      <c r="A6" s="21"/>
      <c r="B6" s="23">
        <v>1</v>
      </c>
      <c r="C6" s="29" t="s">
        <v>52</v>
      </c>
      <c r="D6" s="31" t="s">
        <v>56</v>
      </c>
      <c r="E6" s="26">
        <v>50</v>
      </c>
      <c r="F6" s="28">
        <f>E6</f>
        <v>50</v>
      </c>
      <c r="G6" s="23"/>
    </row>
    <row r="7" spans="1:7" ht="24" customHeight="1">
      <c r="A7" s="21"/>
      <c r="B7" s="23">
        <v>2</v>
      </c>
      <c r="C7" s="29" t="s">
        <v>9</v>
      </c>
      <c r="D7" s="33" t="s">
        <v>78</v>
      </c>
      <c r="E7" s="26">
        <v>150</v>
      </c>
      <c r="F7" s="28">
        <v>150</v>
      </c>
      <c r="G7" s="23"/>
    </row>
    <row r="8" spans="1:7" ht="24" customHeight="1">
      <c r="A8" s="21"/>
      <c r="B8" s="23">
        <v>3</v>
      </c>
      <c r="C8" s="29" t="s">
        <v>84</v>
      </c>
      <c r="D8" s="33" t="s">
        <v>85</v>
      </c>
      <c r="E8" s="26">
        <v>115</v>
      </c>
      <c r="F8" s="28">
        <v>115</v>
      </c>
      <c r="G8" s="23"/>
    </row>
    <row r="9" spans="1:7" ht="24" customHeight="1">
      <c r="A9" s="21"/>
      <c r="B9" s="23">
        <v>4</v>
      </c>
      <c r="C9" s="29" t="s">
        <v>88</v>
      </c>
      <c r="D9" s="33" t="s">
        <v>89</v>
      </c>
      <c r="E9" s="26">
        <v>110</v>
      </c>
      <c r="F9" s="28">
        <v>110</v>
      </c>
      <c r="G9" s="23"/>
    </row>
    <row r="10" spans="1:7" ht="24" customHeight="1">
      <c r="A10" s="21"/>
      <c r="B10" s="23">
        <v>5</v>
      </c>
      <c r="C10" s="29" t="s">
        <v>92</v>
      </c>
      <c r="D10" s="33" t="s">
        <v>94</v>
      </c>
      <c r="E10" s="26">
        <v>125</v>
      </c>
      <c r="F10" s="28">
        <v>125</v>
      </c>
      <c r="G10" s="23"/>
    </row>
    <row r="11" spans="1:7" ht="24" customHeight="1">
      <c r="A11" s="21"/>
      <c r="B11" s="23">
        <v>6</v>
      </c>
      <c r="C11" s="29" t="s">
        <v>97</v>
      </c>
      <c r="D11" s="33" t="s">
        <v>98</v>
      </c>
      <c r="E11" s="26">
        <v>75</v>
      </c>
      <c r="F11" s="28">
        <v>75</v>
      </c>
      <c r="G11" s="23"/>
    </row>
    <row r="12" spans="1:7" ht="24" customHeight="1">
      <c r="A12" s="21"/>
      <c r="B12" s="23">
        <v>7</v>
      </c>
      <c r="C12" s="37" t="s">
        <v>101</v>
      </c>
      <c r="D12" s="33" t="s">
        <v>104</v>
      </c>
      <c r="E12" s="26">
        <v>100</v>
      </c>
      <c r="F12" s="28">
        <v>100</v>
      </c>
      <c r="G12" s="23"/>
    </row>
    <row r="13" spans="1:7" ht="24" customHeight="1">
      <c r="A13" s="21"/>
      <c r="B13" s="23">
        <v>8</v>
      </c>
      <c r="C13" s="39" t="s">
        <v>107</v>
      </c>
      <c r="D13" s="33" t="s">
        <v>109</v>
      </c>
      <c r="E13" s="26">
        <v>60</v>
      </c>
      <c r="F13" s="28">
        <f>E13</f>
        <v>60</v>
      </c>
      <c r="G13" s="23"/>
    </row>
    <row r="14" spans="1:7" ht="24" customHeight="1">
      <c r="A14" s="21"/>
      <c r="B14" s="23">
        <v>9</v>
      </c>
      <c r="C14" s="37" t="s">
        <v>112</v>
      </c>
      <c r="D14" s="33" t="s">
        <v>113</v>
      </c>
      <c r="E14" s="26">
        <v>75</v>
      </c>
      <c r="F14" s="28">
        <v>75</v>
      </c>
      <c r="G14" s="23"/>
    </row>
    <row r="15" spans="1:7" ht="24" customHeight="1">
      <c r="A15" s="21"/>
      <c r="B15" s="23">
        <v>10</v>
      </c>
      <c r="C15" s="39" t="s">
        <v>114</v>
      </c>
      <c r="D15" s="33" t="s">
        <v>115</v>
      </c>
      <c r="E15" s="26">
        <v>100</v>
      </c>
      <c r="F15" s="28">
        <v>100</v>
      </c>
      <c r="G15" s="23"/>
    </row>
    <row r="16" spans="1:7" ht="24" customHeight="1">
      <c r="A16" s="21"/>
      <c r="B16" s="23">
        <v>11</v>
      </c>
      <c r="C16" s="39" t="s">
        <v>119</v>
      </c>
      <c r="D16" s="33" t="s">
        <v>121</v>
      </c>
      <c r="E16" s="26">
        <v>75</v>
      </c>
      <c r="F16" s="28">
        <v>75</v>
      </c>
      <c r="G16" s="23"/>
    </row>
    <row r="17" spans="1:11" ht="24" customHeight="1">
      <c r="A17" s="21"/>
      <c r="B17" s="23">
        <v>12</v>
      </c>
      <c r="C17" s="37" t="s">
        <v>122</v>
      </c>
      <c r="D17" s="33" t="s">
        <v>123</v>
      </c>
      <c r="E17" s="26">
        <v>75</v>
      </c>
      <c r="F17" s="28">
        <v>75</v>
      </c>
      <c r="G17" s="23"/>
    </row>
    <row r="18" spans="1:11" ht="24" customHeight="1">
      <c r="A18" s="21"/>
      <c r="B18" s="23">
        <v>13</v>
      </c>
      <c r="C18" s="29" t="s">
        <v>125</v>
      </c>
      <c r="D18" s="33" t="s">
        <v>126</v>
      </c>
      <c r="E18" s="26">
        <v>120</v>
      </c>
      <c r="F18" s="28">
        <v>120</v>
      </c>
      <c r="G18" s="23"/>
      <c r="I18" s="49"/>
      <c r="J18" s="50"/>
      <c r="K18" s="49"/>
    </row>
    <row r="19" spans="1:11" ht="24" customHeight="1">
      <c r="A19" s="21"/>
      <c r="B19" s="23">
        <v>14</v>
      </c>
      <c r="C19" s="29" t="s">
        <v>130</v>
      </c>
      <c r="D19" s="33" t="s">
        <v>131</v>
      </c>
      <c r="E19" s="26">
        <v>100</v>
      </c>
      <c r="F19" s="28">
        <v>100</v>
      </c>
      <c r="G19" s="23"/>
      <c r="I19" s="49"/>
      <c r="J19" s="50"/>
      <c r="K19" s="49"/>
    </row>
    <row r="20" spans="1:11" ht="24" customHeight="1">
      <c r="A20" s="21"/>
      <c r="B20" s="23">
        <v>15</v>
      </c>
      <c r="C20" s="29" t="s">
        <v>132</v>
      </c>
      <c r="D20" s="33" t="s">
        <v>133</v>
      </c>
      <c r="E20" s="26">
        <v>100</v>
      </c>
      <c r="F20" s="28">
        <v>100</v>
      </c>
      <c r="G20" s="23"/>
      <c r="I20" s="49"/>
      <c r="J20" s="50"/>
      <c r="K20" s="49"/>
    </row>
    <row r="21" spans="1:11" ht="24" customHeight="1">
      <c r="A21" s="21"/>
      <c r="B21" s="23">
        <v>16</v>
      </c>
      <c r="C21" s="29" t="s">
        <v>137</v>
      </c>
      <c r="D21" s="33" t="s">
        <v>139</v>
      </c>
      <c r="E21" s="26">
        <v>270</v>
      </c>
      <c r="F21" s="28">
        <v>270</v>
      </c>
      <c r="G21" s="23"/>
      <c r="I21" s="49"/>
      <c r="J21" s="50"/>
      <c r="K21" s="49"/>
    </row>
    <row r="22" spans="1:11" ht="24" customHeight="1">
      <c r="A22" s="21"/>
      <c r="B22" s="23">
        <v>17</v>
      </c>
      <c r="C22" s="29" t="s">
        <v>140</v>
      </c>
      <c r="D22" s="33" t="s">
        <v>141</v>
      </c>
      <c r="E22" s="26">
        <v>100</v>
      </c>
      <c r="F22" s="28">
        <v>100</v>
      </c>
      <c r="G22" s="23"/>
      <c r="I22" s="49"/>
      <c r="J22" s="50"/>
      <c r="K22" s="49"/>
    </row>
    <row r="23" spans="1:11" ht="24" customHeight="1">
      <c r="A23" s="21"/>
      <c r="B23" s="23">
        <v>18</v>
      </c>
      <c r="C23" s="29" t="s">
        <v>142</v>
      </c>
      <c r="D23" s="33" t="s">
        <v>143</v>
      </c>
      <c r="E23" s="26">
        <v>100</v>
      </c>
      <c r="F23" s="28">
        <v>100</v>
      </c>
      <c r="G23" s="23"/>
      <c r="I23" s="49"/>
      <c r="J23" s="50"/>
      <c r="K23" s="49"/>
    </row>
    <row r="24" spans="1:11" ht="24" customHeight="1">
      <c r="A24" s="21"/>
      <c r="B24" s="23">
        <v>19</v>
      </c>
      <c r="C24" s="29" t="s">
        <v>144</v>
      </c>
      <c r="D24" s="33" t="s">
        <v>145</v>
      </c>
      <c r="E24" s="26">
        <v>150</v>
      </c>
      <c r="F24" s="28">
        <v>150</v>
      </c>
      <c r="G24" s="23"/>
      <c r="I24" s="49"/>
      <c r="J24" s="50"/>
      <c r="K24" s="49"/>
    </row>
    <row r="25" spans="1:11" ht="24" customHeight="1">
      <c r="A25" s="21"/>
      <c r="B25" s="23">
        <v>20</v>
      </c>
      <c r="C25" s="29" t="s">
        <v>147</v>
      </c>
      <c r="D25" s="33" t="s">
        <v>148</v>
      </c>
      <c r="E25" s="26">
        <v>60</v>
      </c>
      <c r="F25" s="28">
        <v>60</v>
      </c>
      <c r="G25" s="23"/>
      <c r="I25" s="49"/>
      <c r="J25" s="50"/>
      <c r="K25" s="49"/>
    </row>
    <row r="26" spans="1:11" ht="24" customHeight="1">
      <c r="A26" s="21"/>
      <c r="B26" s="23">
        <v>21</v>
      </c>
      <c r="C26" s="29" t="s">
        <v>151</v>
      </c>
      <c r="D26" s="33" t="s">
        <v>153</v>
      </c>
      <c r="E26" s="26">
        <v>50</v>
      </c>
      <c r="F26" s="28">
        <v>50</v>
      </c>
      <c r="G26" s="23"/>
      <c r="I26" s="49"/>
      <c r="J26" s="50"/>
      <c r="K26" s="49"/>
    </row>
    <row r="27" spans="1:11" ht="24" customHeight="1">
      <c r="A27" s="21"/>
      <c r="B27" s="23">
        <v>22</v>
      </c>
      <c r="C27" s="29" t="s">
        <v>155</v>
      </c>
      <c r="D27" s="33" t="s">
        <v>156</v>
      </c>
      <c r="E27" s="26">
        <v>60</v>
      </c>
      <c r="F27" s="28">
        <v>60</v>
      </c>
      <c r="G27" s="23"/>
      <c r="I27" s="49"/>
      <c r="J27" s="50"/>
      <c r="K27" s="49"/>
    </row>
    <row r="28" spans="1:11" ht="24" customHeight="1">
      <c r="A28" s="21"/>
      <c r="B28" s="23">
        <v>23</v>
      </c>
      <c r="C28" s="57" t="s">
        <v>157</v>
      </c>
      <c r="D28" s="33" t="s">
        <v>158</v>
      </c>
      <c r="E28" s="26">
        <v>100</v>
      </c>
      <c r="F28" s="28">
        <v>100</v>
      </c>
      <c r="G28" s="23"/>
      <c r="I28" s="49"/>
      <c r="J28" s="50"/>
      <c r="K28" s="49"/>
    </row>
    <row r="29" spans="1:11" ht="24" customHeight="1">
      <c r="A29" s="21"/>
      <c r="B29" s="23">
        <v>24</v>
      </c>
      <c r="C29" s="57" t="s">
        <v>161</v>
      </c>
      <c r="D29" s="33" t="s">
        <v>162</v>
      </c>
      <c r="E29" s="26">
        <v>75</v>
      </c>
      <c r="F29" s="28">
        <v>75</v>
      </c>
      <c r="G29" s="23"/>
      <c r="I29" s="49"/>
      <c r="J29" s="50"/>
      <c r="K29" s="49"/>
    </row>
    <row r="30" spans="1:11" ht="24" customHeight="1">
      <c r="A30" s="21"/>
      <c r="B30" s="23">
        <v>25</v>
      </c>
      <c r="C30" s="57" t="s">
        <v>164</v>
      </c>
      <c r="D30" s="33" t="s">
        <v>165</v>
      </c>
      <c r="E30" s="26">
        <v>75</v>
      </c>
      <c r="F30" s="28">
        <v>75</v>
      </c>
      <c r="G30" s="23"/>
      <c r="I30" s="49"/>
      <c r="J30" s="50"/>
      <c r="K30" s="49"/>
    </row>
    <row r="31" spans="1:11" ht="24" customHeight="1">
      <c r="A31" s="21"/>
      <c r="B31" s="23">
        <v>26</v>
      </c>
      <c r="C31" s="57" t="s">
        <v>166</v>
      </c>
      <c r="D31" s="33" t="s">
        <v>167</v>
      </c>
      <c r="E31" s="26">
        <v>75</v>
      </c>
      <c r="F31" s="28">
        <v>75</v>
      </c>
      <c r="G31" s="23"/>
      <c r="I31" s="49"/>
      <c r="J31" s="50"/>
      <c r="K31" s="49"/>
    </row>
    <row r="32" spans="1:11" ht="24" customHeight="1">
      <c r="A32" s="21"/>
      <c r="B32" s="23">
        <v>27</v>
      </c>
      <c r="C32" s="57" t="s">
        <v>168</v>
      </c>
      <c r="D32" s="33" t="s">
        <v>169</v>
      </c>
      <c r="E32" s="26">
        <v>75</v>
      </c>
      <c r="F32" s="28">
        <v>75</v>
      </c>
      <c r="G32" s="23"/>
      <c r="I32" s="49"/>
      <c r="J32" s="50"/>
      <c r="K32" s="49"/>
    </row>
    <row r="33" spans="1:26" ht="24" customHeight="1">
      <c r="A33" s="21"/>
      <c r="B33" s="23">
        <v>28</v>
      </c>
      <c r="C33" s="57" t="s">
        <v>170</v>
      </c>
      <c r="D33" s="33" t="s">
        <v>171</v>
      </c>
      <c r="E33" s="26">
        <v>75</v>
      </c>
      <c r="F33" s="28">
        <v>75</v>
      </c>
      <c r="G33" s="23"/>
      <c r="I33" s="49"/>
      <c r="J33" s="50"/>
      <c r="K33" s="49"/>
    </row>
    <row r="34" spans="1:26" ht="24" customHeight="1">
      <c r="A34" s="21"/>
      <c r="B34" s="23">
        <v>29</v>
      </c>
      <c r="C34" s="57" t="s">
        <v>8</v>
      </c>
      <c r="D34" s="33" t="s">
        <v>172</v>
      </c>
      <c r="E34" s="26">
        <v>75</v>
      </c>
      <c r="F34" s="28">
        <v>75</v>
      </c>
      <c r="G34" s="23"/>
      <c r="I34" s="49"/>
      <c r="J34" s="50"/>
      <c r="K34" s="49"/>
    </row>
    <row r="35" spans="1:26" ht="24" customHeight="1">
      <c r="A35" s="21"/>
      <c r="B35" s="23">
        <v>30</v>
      </c>
      <c r="C35" s="57" t="s">
        <v>173</v>
      </c>
      <c r="D35" s="33" t="s">
        <v>174</v>
      </c>
      <c r="E35" s="26">
        <v>112.5</v>
      </c>
      <c r="F35" s="28">
        <v>112.5</v>
      </c>
      <c r="G35" s="23"/>
      <c r="I35" s="49"/>
      <c r="J35" s="50"/>
      <c r="K35" s="49"/>
    </row>
    <row r="36" spans="1:26" ht="24" customHeight="1">
      <c r="A36" s="21"/>
      <c r="B36" s="23">
        <v>31</v>
      </c>
      <c r="C36" s="57" t="s">
        <v>175</v>
      </c>
      <c r="D36" s="33" t="s">
        <v>176</v>
      </c>
      <c r="E36" s="26">
        <v>50</v>
      </c>
      <c r="F36" s="28">
        <v>50</v>
      </c>
      <c r="G36" s="23"/>
      <c r="I36" s="49"/>
      <c r="J36" s="50"/>
      <c r="K36" s="49"/>
    </row>
    <row r="37" spans="1:26" ht="24" customHeight="1">
      <c r="A37" s="21"/>
      <c r="B37" s="23">
        <v>32</v>
      </c>
      <c r="C37" s="57" t="s">
        <v>179</v>
      </c>
      <c r="D37" s="33" t="s">
        <v>180</v>
      </c>
      <c r="E37" s="26">
        <v>25</v>
      </c>
      <c r="F37" s="28">
        <v>25</v>
      </c>
      <c r="G37" s="23"/>
      <c r="I37" s="49"/>
      <c r="J37" s="50"/>
      <c r="K37" s="49"/>
    </row>
    <row r="38" spans="1:26" ht="24" customHeight="1">
      <c r="A38" s="21"/>
      <c r="B38" s="65">
        <v>33</v>
      </c>
      <c r="C38" s="57" t="s">
        <v>183</v>
      </c>
      <c r="D38" s="33" t="s">
        <v>185</v>
      </c>
      <c r="E38" s="26">
        <v>50</v>
      </c>
      <c r="F38" s="28">
        <v>50</v>
      </c>
      <c r="G38" s="23"/>
      <c r="I38" s="49"/>
      <c r="J38" s="50"/>
      <c r="K38" s="49"/>
    </row>
    <row r="39" spans="1:26" ht="24" customHeight="1">
      <c r="A39" s="21"/>
      <c r="B39" s="65">
        <v>34</v>
      </c>
      <c r="C39" s="57" t="s">
        <v>186</v>
      </c>
      <c r="D39" s="33" t="s">
        <v>187</v>
      </c>
      <c r="E39" s="26">
        <v>70</v>
      </c>
      <c r="F39" s="28">
        <v>70</v>
      </c>
      <c r="G39" s="23"/>
      <c r="I39" s="49"/>
      <c r="J39" s="50"/>
      <c r="K39" s="49"/>
    </row>
    <row r="40" spans="1:26" ht="24" customHeight="1">
      <c r="A40" s="21"/>
      <c r="B40" s="65">
        <v>35</v>
      </c>
      <c r="C40" s="57" t="s">
        <v>140</v>
      </c>
      <c r="D40" s="33" t="s">
        <v>188</v>
      </c>
      <c r="E40" s="26">
        <v>100</v>
      </c>
      <c r="F40" s="28">
        <v>100</v>
      </c>
      <c r="G40" s="23"/>
      <c r="I40" s="49"/>
      <c r="J40" s="50"/>
      <c r="K40" s="49"/>
    </row>
    <row r="41" spans="1:26" ht="24" customHeight="1">
      <c r="A41" s="21"/>
      <c r="B41" s="65">
        <v>36</v>
      </c>
      <c r="C41" s="57" t="s">
        <v>189</v>
      </c>
      <c r="D41" s="33" t="s">
        <v>190</v>
      </c>
      <c r="E41" s="26">
        <v>50</v>
      </c>
      <c r="F41" s="28">
        <v>50</v>
      </c>
      <c r="G41" s="23"/>
      <c r="I41" s="49"/>
      <c r="J41" s="50"/>
      <c r="K41" s="49"/>
    </row>
    <row r="42" spans="1:26" ht="24" customHeight="1">
      <c r="A42" s="21"/>
      <c r="B42" s="66"/>
      <c r="C42" s="67"/>
      <c r="D42" s="68"/>
      <c r="E42" s="69"/>
      <c r="F42" s="71"/>
      <c r="G42" s="68"/>
      <c r="I42" s="49"/>
      <c r="J42" s="50"/>
      <c r="K42" s="49"/>
    </row>
    <row r="43" spans="1:26" ht="24" customHeight="1">
      <c r="A43" s="21"/>
      <c r="B43" s="72"/>
      <c r="C43" s="74"/>
      <c r="D43" s="76"/>
      <c r="E43" s="77">
        <f>SUM(E5:E42)</f>
        <v>3227.5</v>
      </c>
      <c r="F43" s="77">
        <f>SUM(F2:F42)</f>
        <v>3227.5</v>
      </c>
      <c r="G43" s="77">
        <f>E43-F43</f>
        <v>0</v>
      </c>
      <c r="I43" s="49"/>
      <c r="J43" s="50"/>
      <c r="K43" s="49"/>
    </row>
    <row r="44" spans="1:26" ht="24" customHeight="1"/>
    <row r="45" spans="1:26" ht="24" customHeight="1">
      <c r="A45" s="78"/>
      <c r="B45" s="191" t="s">
        <v>211</v>
      </c>
      <c r="C45" s="192"/>
      <c r="D45" s="192"/>
      <c r="E45" s="192"/>
      <c r="F45" s="192"/>
      <c r="G45" s="193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24" customHeight="1">
      <c r="A46" s="78"/>
      <c r="B46" s="194" t="s">
        <v>1</v>
      </c>
      <c r="C46" s="196" t="s">
        <v>2</v>
      </c>
      <c r="D46" s="198" t="s">
        <v>4</v>
      </c>
      <c r="E46" s="216" t="s">
        <v>5</v>
      </c>
      <c r="F46" s="217" t="s">
        <v>6</v>
      </c>
      <c r="G46" s="196" t="s">
        <v>7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24" customHeight="1">
      <c r="A47" s="78"/>
      <c r="B47" s="195"/>
      <c r="C47" s="197"/>
      <c r="D47" s="199"/>
      <c r="E47" s="201"/>
      <c r="F47" s="195"/>
      <c r="G47" s="197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24" customHeight="1">
      <c r="A48" s="78"/>
      <c r="B48" s="23"/>
      <c r="C48" s="24" t="s">
        <v>163</v>
      </c>
      <c r="D48" s="23"/>
      <c r="E48" s="26"/>
      <c r="F48" s="28"/>
      <c r="G48" s="23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24" customHeight="1">
      <c r="A49" s="78"/>
      <c r="B49" s="23">
        <v>1</v>
      </c>
      <c r="C49" s="29" t="s">
        <v>231</v>
      </c>
      <c r="D49" s="31" t="s">
        <v>232</v>
      </c>
      <c r="E49" s="26">
        <v>100</v>
      </c>
      <c r="F49" s="28">
        <v>100</v>
      </c>
      <c r="G49" s="23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24" customHeight="1">
      <c r="A50" s="78"/>
      <c r="B50" s="23">
        <v>2</v>
      </c>
      <c r="C50" s="29" t="s">
        <v>235</v>
      </c>
      <c r="D50" s="33" t="s">
        <v>236</v>
      </c>
      <c r="E50" s="26">
        <v>50</v>
      </c>
      <c r="F50" s="28">
        <v>50</v>
      </c>
      <c r="G50" s="23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24" customHeight="1">
      <c r="A51" s="78"/>
      <c r="B51" s="23">
        <v>3</v>
      </c>
      <c r="C51" s="29" t="s">
        <v>235</v>
      </c>
      <c r="D51" s="33" t="s">
        <v>232</v>
      </c>
      <c r="E51" s="26">
        <v>50</v>
      </c>
      <c r="F51" s="28">
        <v>50</v>
      </c>
      <c r="G51" s="23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24" customHeight="1">
      <c r="A52" s="78"/>
      <c r="B52" s="23">
        <v>4</v>
      </c>
      <c r="C52" s="29" t="s">
        <v>239</v>
      </c>
      <c r="D52" s="33" t="s">
        <v>240</v>
      </c>
      <c r="E52" s="26">
        <v>25</v>
      </c>
      <c r="F52" s="28">
        <v>25</v>
      </c>
      <c r="G52" s="23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24" customHeight="1">
      <c r="A53" s="78"/>
      <c r="B53" s="23">
        <v>5</v>
      </c>
      <c r="C53" s="29" t="s">
        <v>243</v>
      </c>
      <c r="D53" s="33" t="s">
        <v>245</v>
      </c>
      <c r="E53" s="26">
        <v>100</v>
      </c>
      <c r="F53" s="28">
        <v>100</v>
      </c>
      <c r="G53" s="23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24" customHeight="1">
      <c r="A54" s="78"/>
      <c r="B54" s="23">
        <v>6</v>
      </c>
      <c r="C54" s="29" t="s">
        <v>248</v>
      </c>
      <c r="D54" s="33" t="s">
        <v>249</v>
      </c>
      <c r="E54" s="26">
        <v>100</v>
      </c>
      <c r="F54" s="28">
        <v>100</v>
      </c>
      <c r="G54" s="23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24" customHeight="1">
      <c r="A55" s="78"/>
      <c r="B55" s="23">
        <v>7</v>
      </c>
      <c r="C55" s="37" t="s">
        <v>254</v>
      </c>
      <c r="D55" s="33" t="s">
        <v>255</v>
      </c>
      <c r="E55" s="26">
        <v>100</v>
      </c>
      <c r="F55" s="28">
        <v>100</v>
      </c>
      <c r="G55" s="23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24" customHeight="1">
      <c r="A56" s="78"/>
      <c r="B56" s="23">
        <v>8</v>
      </c>
      <c r="C56" s="39" t="s">
        <v>258</v>
      </c>
      <c r="D56" s="33" t="s">
        <v>259</v>
      </c>
      <c r="E56" s="26">
        <v>125</v>
      </c>
      <c r="F56" s="28">
        <v>125</v>
      </c>
      <c r="G56" s="23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24" customHeight="1">
      <c r="A57" s="78"/>
      <c r="B57" s="23">
        <v>9</v>
      </c>
      <c r="C57" s="37" t="s">
        <v>63</v>
      </c>
      <c r="D57" s="33" t="s">
        <v>263</v>
      </c>
      <c r="E57" s="26">
        <v>100</v>
      </c>
      <c r="F57" s="28">
        <v>100</v>
      </c>
      <c r="G57" s="23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24" customHeight="1">
      <c r="A58" s="78"/>
      <c r="B58" s="23">
        <v>10</v>
      </c>
      <c r="C58" s="39" t="s">
        <v>268</v>
      </c>
      <c r="D58" s="33" t="s">
        <v>270</v>
      </c>
      <c r="E58" s="26">
        <v>75</v>
      </c>
      <c r="F58" s="28">
        <v>75</v>
      </c>
      <c r="G58" s="23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24" customHeight="1">
      <c r="A59" s="78"/>
      <c r="B59" s="23">
        <v>11</v>
      </c>
      <c r="C59" s="39" t="s">
        <v>274</v>
      </c>
      <c r="D59" s="33" t="s">
        <v>275</v>
      </c>
      <c r="E59" s="26">
        <v>120</v>
      </c>
      <c r="F59" s="28">
        <v>120</v>
      </c>
      <c r="G59" s="23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24" customHeight="1">
      <c r="A60" s="78"/>
      <c r="B60" s="23">
        <v>12</v>
      </c>
      <c r="C60" s="37" t="s">
        <v>61</v>
      </c>
      <c r="D60" s="33" t="s">
        <v>277</v>
      </c>
      <c r="E60" s="26">
        <v>160</v>
      </c>
      <c r="F60" s="28">
        <v>160</v>
      </c>
      <c r="G60" s="23"/>
      <c r="H60" s="78"/>
      <c r="I60" s="78"/>
      <c r="J60" s="78"/>
      <c r="K60" s="78"/>
      <c r="L60" s="33"/>
      <c r="M60" s="33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24" customHeight="1">
      <c r="A61" s="78"/>
      <c r="B61" s="23">
        <v>13</v>
      </c>
      <c r="C61" s="29" t="s">
        <v>220</v>
      </c>
      <c r="D61" s="33" t="s">
        <v>280</v>
      </c>
      <c r="E61" s="26">
        <v>160</v>
      </c>
      <c r="F61" s="28">
        <v>160</v>
      </c>
      <c r="G61" s="23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24" customHeight="1">
      <c r="A62" s="78"/>
      <c r="B62" s="23"/>
      <c r="C62" s="29"/>
      <c r="D62" s="33"/>
      <c r="E62" s="26"/>
      <c r="F62" s="28"/>
      <c r="G62" s="23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24" customHeight="1">
      <c r="A63" s="78"/>
      <c r="B63" s="66"/>
      <c r="C63" s="67"/>
      <c r="D63" s="68"/>
      <c r="E63" s="69"/>
      <c r="F63" s="71"/>
      <c r="G63" s="6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24" customHeight="1">
      <c r="A64" s="78"/>
      <c r="B64" s="72"/>
      <c r="C64" s="74"/>
      <c r="D64" s="76"/>
      <c r="E64" s="77">
        <f>SUM(E48:E63)</f>
        <v>1265</v>
      </c>
      <c r="F64" s="77">
        <f>SUM(F45:F63)</f>
        <v>1265</v>
      </c>
      <c r="G64" s="77">
        <f>E64-F64</f>
        <v>0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24" customHeight="1">
      <c r="A65" s="78"/>
      <c r="B65" s="87"/>
      <c r="C65" s="33"/>
      <c r="D65" s="33"/>
      <c r="E65" s="88"/>
      <c r="F65" s="89"/>
      <c r="G65" s="87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24" customHeight="1">
      <c r="A66" s="78"/>
      <c r="B66" s="191" t="s">
        <v>291</v>
      </c>
      <c r="C66" s="192"/>
      <c r="D66" s="192"/>
      <c r="E66" s="192"/>
      <c r="F66" s="192"/>
      <c r="G66" s="193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24" customHeight="1">
      <c r="A67" s="78"/>
      <c r="B67" s="194" t="s">
        <v>1</v>
      </c>
      <c r="C67" s="196" t="s">
        <v>2</v>
      </c>
      <c r="D67" s="198" t="s">
        <v>4</v>
      </c>
      <c r="E67" s="216" t="s">
        <v>5</v>
      </c>
      <c r="F67" s="217" t="s">
        <v>6</v>
      </c>
      <c r="G67" s="196" t="s">
        <v>7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24" customHeight="1">
      <c r="A68" s="78"/>
      <c r="B68" s="195"/>
      <c r="C68" s="197"/>
      <c r="D68" s="199"/>
      <c r="E68" s="201"/>
      <c r="F68" s="195"/>
      <c r="G68" s="197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24" customHeight="1">
      <c r="A69" s="78"/>
      <c r="B69" s="23"/>
      <c r="C69" s="24" t="s">
        <v>299</v>
      </c>
      <c r="D69" s="23"/>
      <c r="E69" s="26"/>
      <c r="F69" s="28"/>
      <c r="G69" s="23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24" customHeight="1">
      <c r="A70" s="78"/>
      <c r="B70" s="23">
        <v>1</v>
      </c>
      <c r="C70" s="29" t="s">
        <v>189</v>
      </c>
      <c r="D70" s="31" t="s">
        <v>301</v>
      </c>
      <c r="E70" s="26">
        <v>50</v>
      </c>
      <c r="F70" s="28">
        <v>50</v>
      </c>
      <c r="G70" s="23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24" customHeight="1">
      <c r="A71" s="78"/>
      <c r="B71" s="23">
        <f t="shared" ref="B71:B100" si="0">B70+1</f>
        <v>2</v>
      </c>
      <c r="C71" s="29" t="s">
        <v>183</v>
      </c>
      <c r="D71" s="31" t="s">
        <v>308</v>
      </c>
      <c r="E71" s="26">
        <v>50</v>
      </c>
      <c r="F71" s="28">
        <v>50</v>
      </c>
      <c r="G71" s="23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24" customHeight="1">
      <c r="A72" s="78"/>
      <c r="B72" s="23">
        <f t="shared" si="0"/>
        <v>3</v>
      </c>
      <c r="C72" s="29" t="s">
        <v>173</v>
      </c>
      <c r="D72" s="31" t="s">
        <v>311</v>
      </c>
      <c r="E72" s="26">
        <v>90</v>
      </c>
      <c r="F72" s="28">
        <v>90</v>
      </c>
      <c r="G72" s="23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24" customHeight="1">
      <c r="A73" s="78"/>
      <c r="B73" s="23">
        <f t="shared" si="0"/>
        <v>4</v>
      </c>
      <c r="C73" s="29" t="s">
        <v>125</v>
      </c>
      <c r="D73" s="31" t="s">
        <v>313</v>
      </c>
      <c r="E73" s="26">
        <v>120</v>
      </c>
      <c r="F73" s="28">
        <v>120</v>
      </c>
      <c r="G73" s="23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24" customHeight="1">
      <c r="A74" s="78"/>
      <c r="B74" s="23">
        <f t="shared" si="0"/>
        <v>5</v>
      </c>
      <c r="C74" s="29" t="s">
        <v>92</v>
      </c>
      <c r="D74" s="31" t="s">
        <v>317</v>
      </c>
      <c r="E74" s="26">
        <v>100</v>
      </c>
      <c r="F74" s="28">
        <v>100</v>
      </c>
      <c r="G74" s="23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24" customHeight="1">
      <c r="A75" s="78"/>
      <c r="B75" s="23">
        <f t="shared" si="0"/>
        <v>6</v>
      </c>
      <c r="C75" s="29" t="s">
        <v>155</v>
      </c>
      <c r="D75" s="31" t="s">
        <v>321</v>
      </c>
      <c r="E75" s="26">
        <v>60</v>
      </c>
      <c r="F75" s="28">
        <v>60</v>
      </c>
      <c r="G75" s="23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24" customHeight="1">
      <c r="A76" s="78"/>
      <c r="B76" s="23">
        <f t="shared" si="0"/>
        <v>7</v>
      </c>
      <c r="C76" s="37" t="s">
        <v>140</v>
      </c>
      <c r="D76" s="31" t="s">
        <v>324</v>
      </c>
      <c r="E76" s="26">
        <v>50</v>
      </c>
      <c r="F76" s="28">
        <f>E76</f>
        <v>50</v>
      </c>
      <c r="G76" s="23" t="s">
        <v>325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24" customHeight="1">
      <c r="A77" s="78"/>
      <c r="B77" s="23">
        <f t="shared" si="0"/>
        <v>8</v>
      </c>
      <c r="C77" s="39" t="s">
        <v>130</v>
      </c>
      <c r="D77" s="31" t="s">
        <v>328</v>
      </c>
      <c r="E77" s="26">
        <v>75</v>
      </c>
      <c r="F77" s="28">
        <v>75</v>
      </c>
      <c r="G77" s="23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24" customHeight="1">
      <c r="A78" s="78"/>
      <c r="B78" s="23">
        <f t="shared" si="0"/>
        <v>9</v>
      </c>
      <c r="C78" s="37" t="s">
        <v>107</v>
      </c>
      <c r="D78" s="31" t="s">
        <v>333</v>
      </c>
      <c r="E78" s="26"/>
      <c r="G78" s="28" t="s">
        <v>336</v>
      </c>
      <c r="H78" s="78"/>
      <c r="I78" s="92"/>
      <c r="J78" s="93"/>
      <c r="K78" s="92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24" customHeight="1">
      <c r="A79" s="78"/>
      <c r="B79" s="23">
        <f t="shared" si="0"/>
        <v>10</v>
      </c>
      <c r="C79" s="39" t="s">
        <v>101</v>
      </c>
      <c r="D79" s="31" t="s">
        <v>338</v>
      </c>
      <c r="E79" s="26">
        <v>100</v>
      </c>
      <c r="F79" s="28">
        <v>100</v>
      </c>
      <c r="G79" s="23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24" customHeight="1">
      <c r="A80" s="78"/>
      <c r="B80" s="23">
        <f t="shared" si="0"/>
        <v>11</v>
      </c>
      <c r="C80" s="39" t="s">
        <v>97</v>
      </c>
      <c r="D80" s="31" t="s">
        <v>340</v>
      </c>
      <c r="E80" s="26">
        <v>100</v>
      </c>
      <c r="F80" s="28">
        <v>100</v>
      </c>
      <c r="G80" s="23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24" customHeight="1">
      <c r="A81" s="78"/>
      <c r="B81" s="23">
        <f t="shared" si="0"/>
        <v>12</v>
      </c>
      <c r="C81" s="37" t="s">
        <v>88</v>
      </c>
      <c r="D81" s="31" t="s">
        <v>341</v>
      </c>
      <c r="E81" s="26">
        <v>70</v>
      </c>
      <c r="F81" s="28">
        <v>70</v>
      </c>
      <c r="G81" s="23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24" customHeight="1">
      <c r="A82" s="78"/>
      <c r="B82" s="23">
        <f t="shared" si="0"/>
        <v>13</v>
      </c>
      <c r="C82" s="29" t="s">
        <v>344</v>
      </c>
      <c r="D82" s="31" t="s">
        <v>345</v>
      </c>
      <c r="E82" s="26">
        <v>100</v>
      </c>
      <c r="F82" s="28">
        <v>100</v>
      </c>
      <c r="G82" s="23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24" customHeight="1">
      <c r="A83" s="78"/>
      <c r="B83" s="23">
        <f t="shared" si="0"/>
        <v>14</v>
      </c>
      <c r="C83" s="29" t="s">
        <v>347</v>
      </c>
      <c r="D83" s="31" t="s">
        <v>349</v>
      </c>
      <c r="E83" s="26">
        <v>100</v>
      </c>
      <c r="F83" s="28">
        <v>100</v>
      </c>
      <c r="G83" s="23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24" customHeight="1">
      <c r="A84" s="78"/>
      <c r="B84" s="23">
        <f t="shared" si="0"/>
        <v>15</v>
      </c>
      <c r="C84" s="29" t="s">
        <v>350</v>
      </c>
      <c r="D84" s="31" t="s">
        <v>352</v>
      </c>
      <c r="E84" s="26">
        <v>80</v>
      </c>
      <c r="F84" s="28">
        <v>80</v>
      </c>
      <c r="G84" s="23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24" customHeight="1">
      <c r="A85" s="78"/>
      <c r="B85" s="23">
        <f t="shared" si="0"/>
        <v>16</v>
      </c>
      <c r="C85" s="29" t="s">
        <v>353</v>
      </c>
      <c r="D85" s="31" t="s">
        <v>355</v>
      </c>
      <c r="E85" s="26">
        <v>75</v>
      </c>
      <c r="F85" s="28">
        <v>75</v>
      </c>
      <c r="G85" s="23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24" customHeight="1">
      <c r="A86" s="78"/>
      <c r="B86" s="23">
        <f t="shared" si="0"/>
        <v>17</v>
      </c>
      <c r="C86" s="29" t="s">
        <v>357</v>
      </c>
      <c r="D86" s="31" t="s">
        <v>360</v>
      </c>
      <c r="E86" s="26">
        <v>75</v>
      </c>
      <c r="F86" s="28">
        <v>75</v>
      </c>
      <c r="G86" s="23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24" customHeight="1">
      <c r="A87" s="78"/>
      <c r="B87" s="23">
        <f t="shared" si="0"/>
        <v>18</v>
      </c>
      <c r="C87" s="29" t="s">
        <v>161</v>
      </c>
      <c r="D87" s="31" t="s">
        <v>364</v>
      </c>
      <c r="E87" s="26">
        <v>50</v>
      </c>
      <c r="F87" s="28">
        <v>50</v>
      </c>
      <c r="G87" s="23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24" customHeight="1">
      <c r="A88" s="78"/>
      <c r="B88" s="23">
        <f t="shared" si="0"/>
        <v>19</v>
      </c>
      <c r="C88" s="29" t="s">
        <v>365</v>
      </c>
      <c r="D88" s="31" t="s">
        <v>366</v>
      </c>
      <c r="E88" s="26">
        <v>100</v>
      </c>
      <c r="F88" s="28">
        <v>100</v>
      </c>
      <c r="G88" s="23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24" customHeight="1">
      <c r="A89" s="78"/>
      <c r="B89" s="23">
        <f t="shared" si="0"/>
        <v>20</v>
      </c>
      <c r="C89" s="29" t="s">
        <v>283</v>
      </c>
      <c r="D89" s="31" t="s">
        <v>368</v>
      </c>
      <c r="E89" s="26">
        <v>75</v>
      </c>
      <c r="F89" s="28">
        <v>75</v>
      </c>
      <c r="G89" s="23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24" customHeight="1">
      <c r="A90" s="78"/>
      <c r="B90" s="23">
        <f t="shared" si="0"/>
        <v>21</v>
      </c>
      <c r="C90" s="29" t="s">
        <v>371</v>
      </c>
      <c r="D90" s="31" t="s">
        <v>372</v>
      </c>
      <c r="E90" s="26">
        <v>25</v>
      </c>
      <c r="F90" s="28">
        <v>25</v>
      </c>
      <c r="G90" s="23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24" customHeight="1">
      <c r="A91" s="78"/>
      <c r="B91" s="23">
        <f t="shared" si="0"/>
        <v>22</v>
      </c>
      <c r="C91" s="29" t="s">
        <v>137</v>
      </c>
      <c r="D91" s="31" t="s">
        <v>375</v>
      </c>
      <c r="E91" s="26"/>
      <c r="F91" s="28"/>
      <c r="G91" s="23" t="s">
        <v>377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24" customHeight="1">
      <c r="A92" s="78"/>
      <c r="B92" s="23">
        <f t="shared" si="0"/>
        <v>23</v>
      </c>
      <c r="C92" s="29" t="s">
        <v>379</v>
      </c>
      <c r="D92" s="31" t="s">
        <v>380</v>
      </c>
      <c r="E92" s="26">
        <v>75</v>
      </c>
      <c r="F92" s="28">
        <f>E92</f>
        <v>75</v>
      </c>
      <c r="G92" s="23" t="s">
        <v>382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24" customHeight="1">
      <c r="A93" s="78"/>
      <c r="B93" s="23">
        <f t="shared" si="0"/>
        <v>24</v>
      </c>
      <c r="C93" s="29" t="s">
        <v>384</v>
      </c>
      <c r="D93" s="31" t="s">
        <v>385</v>
      </c>
      <c r="E93" s="26">
        <v>100</v>
      </c>
      <c r="F93" s="28">
        <v>100</v>
      </c>
      <c r="G93" s="23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24" customHeight="1">
      <c r="A94" s="78"/>
      <c r="B94" s="23">
        <f t="shared" si="0"/>
        <v>25</v>
      </c>
      <c r="C94" s="29" t="s">
        <v>387</v>
      </c>
      <c r="D94" s="31" t="s">
        <v>388</v>
      </c>
      <c r="E94" s="26">
        <v>80</v>
      </c>
      <c r="F94" s="28">
        <v>80</v>
      </c>
      <c r="G94" s="23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24" customHeight="1">
      <c r="A95" s="78"/>
      <c r="B95" s="23">
        <f t="shared" si="0"/>
        <v>26</v>
      </c>
      <c r="C95" s="29" t="s">
        <v>392</v>
      </c>
      <c r="D95" s="31" t="s">
        <v>393</v>
      </c>
      <c r="E95" s="26">
        <v>50</v>
      </c>
      <c r="F95" s="28">
        <v>50</v>
      </c>
      <c r="G95" s="23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24" customHeight="1">
      <c r="A96" s="78"/>
      <c r="B96" s="23">
        <f t="shared" si="0"/>
        <v>27</v>
      </c>
      <c r="C96" s="29" t="s">
        <v>396</v>
      </c>
      <c r="D96" s="31" t="s">
        <v>398</v>
      </c>
      <c r="E96" s="26">
        <v>50</v>
      </c>
      <c r="F96" s="28">
        <v>50</v>
      </c>
      <c r="G96" s="23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24" customHeight="1">
      <c r="A97" s="78"/>
      <c r="B97" s="23">
        <f t="shared" si="0"/>
        <v>28</v>
      </c>
      <c r="C97" s="29" t="s">
        <v>399</v>
      </c>
      <c r="D97" s="31" t="s">
        <v>400</v>
      </c>
      <c r="E97" s="26">
        <v>75</v>
      </c>
      <c r="F97" s="28">
        <v>75</v>
      </c>
      <c r="G97" s="23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24" customHeight="1">
      <c r="A98" s="78"/>
      <c r="B98" s="23">
        <f t="shared" si="0"/>
        <v>29</v>
      </c>
      <c r="C98" s="29" t="s">
        <v>79</v>
      </c>
      <c r="D98" s="31" t="s">
        <v>401</v>
      </c>
      <c r="E98" s="26">
        <v>100</v>
      </c>
      <c r="F98" s="28">
        <v>100</v>
      </c>
      <c r="G98" s="23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24" customHeight="1">
      <c r="A99" s="78"/>
      <c r="B99" s="23">
        <f t="shared" si="0"/>
        <v>30</v>
      </c>
      <c r="C99" s="19" t="s">
        <v>260</v>
      </c>
      <c r="D99" s="31" t="s">
        <v>405</v>
      </c>
      <c r="E99" s="32">
        <v>150</v>
      </c>
      <c r="F99" s="28">
        <v>150</v>
      </c>
      <c r="G99" s="31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24" customHeight="1">
      <c r="A100" s="78"/>
      <c r="B100" s="23">
        <f t="shared" si="0"/>
        <v>31</v>
      </c>
      <c r="C100" s="19" t="s">
        <v>406</v>
      </c>
      <c r="D100" s="31" t="s">
        <v>407</v>
      </c>
      <c r="E100" s="32">
        <v>50</v>
      </c>
      <c r="F100" s="28">
        <v>50</v>
      </c>
      <c r="G100" s="31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24" customHeight="1">
      <c r="A101" s="78"/>
      <c r="B101" s="23">
        <v>32</v>
      </c>
      <c r="C101" s="19" t="s">
        <v>408</v>
      </c>
      <c r="D101" s="31" t="s">
        <v>409</v>
      </c>
      <c r="E101" s="32">
        <v>50</v>
      </c>
      <c r="F101" s="28">
        <v>50</v>
      </c>
      <c r="G101" s="31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24" customHeight="1">
      <c r="A102" s="78"/>
      <c r="B102" s="23"/>
      <c r="C102" s="19"/>
      <c r="D102" s="31"/>
      <c r="E102" s="69"/>
      <c r="F102" s="71"/>
      <c r="G102" s="6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24" customHeight="1">
      <c r="A103" s="78"/>
      <c r="B103" s="72"/>
      <c r="C103" s="74"/>
      <c r="D103" s="76"/>
      <c r="E103" s="77">
        <f t="shared" ref="E103:F103" si="1">SUM(E69:E102)</f>
        <v>2325</v>
      </c>
      <c r="F103" s="77">
        <f t="shared" si="1"/>
        <v>2325</v>
      </c>
      <c r="G103" s="77">
        <f>E103-F103</f>
        <v>0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24" customHeight="1">
      <c r="A104" s="78"/>
      <c r="B104" s="87"/>
      <c r="C104" s="101"/>
      <c r="D104" s="33"/>
      <c r="E104" s="88"/>
      <c r="F104" s="89"/>
      <c r="G104" s="87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24" customHeight="1">
      <c r="A105" s="78"/>
      <c r="B105" s="191" t="s">
        <v>414</v>
      </c>
      <c r="C105" s="192"/>
      <c r="D105" s="192"/>
      <c r="E105" s="192"/>
      <c r="F105" s="192"/>
      <c r="G105" s="193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24" customHeight="1">
      <c r="A106" s="78"/>
      <c r="B106" s="194" t="s">
        <v>1</v>
      </c>
      <c r="C106" s="196" t="s">
        <v>2</v>
      </c>
      <c r="D106" s="198" t="s">
        <v>4</v>
      </c>
      <c r="E106" s="216" t="s">
        <v>5</v>
      </c>
      <c r="F106" s="217" t="s">
        <v>6</v>
      </c>
      <c r="G106" s="196" t="s">
        <v>7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24" customHeight="1">
      <c r="A107" s="78"/>
      <c r="B107" s="195"/>
      <c r="C107" s="197"/>
      <c r="D107" s="199"/>
      <c r="E107" s="201"/>
      <c r="F107" s="195"/>
      <c r="G107" s="197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24" customHeight="1">
      <c r="A108" s="78"/>
      <c r="B108" s="23"/>
      <c r="C108" s="105" t="s">
        <v>421</v>
      </c>
      <c r="D108" s="23"/>
      <c r="E108" s="26"/>
      <c r="F108" s="28"/>
      <c r="G108" s="23"/>
      <c r="H108" s="78"/>
      <c r="I108" s="92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24" customHeight="1">
      <c r="A109" s="78"/>
      <c r="B109" s="23">
        <v>1</v>
      </c>
      <c r="C109" s="29" t="s">
        <v>425</v>
      </c>
      <c r="D109" s="31" t="s">
        <v>426</v>
      </c>
      <c r="E109" s="26">
        <v>75</v>
      </c>
      <c r="F109" s="28">
        <v>75</v>
      </c>
      <c r="G109" s="23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24" customHeight="1">
      <c r="A110" s="78"/>
      <c r="B110" s="23">
        <v>2</v>
      </c>
      <c r="C110" s="29" t="s">
        <v>432</v>
      </c>
      <c r="D110" s="31" t="s">
        <v>433</v>
      </c>
      <c r="E110" s="26">
        <v>55</v>
      </c>
      <c r="F110" s="28">
        <v>55</v>
      </c>
      <c r="G110" s="23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24" customHeight="1">
      <c r="A111" s="78"/>
      <c r="B111" s="23">
        <v>3</v>
      </c>
      <c r="C111" s="19" t="s">
        <v>408</v>
      </c>
      <c r="D111" s="31" t="s">
        <v>437</v>
      </c>
      <c r="E111" s="32">
        <v>50</v>
      </c>
      <c r="F111" s="28">
        <v>50</v>
      </c>
      <c r="G111" s="23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24" customHeight="1">
      <c r="A112" s="78"/>
      <c r="B112" s="23">
        <v>4</v>
      </c>
      <c r="C112" s="29" t="s">
        <v>439</v>
      </c>
      <c r="D112" s="31" t="s">
        <v>440</v>
      </c>
      <c r="E112" s="26">
        <v>50</v>
      </c>
      <c r="F112" s="28">
        <v>50</v>
      </c>
      <c r="G112" s="23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24" customHeight="1">
      <c r="A113" s="78"/>
      <c r="B113" s="23">
        <v>5</v>
      </c>
      <c r="C113" s="29" t="s">
        <v>443</v>
      </c>
      <c r="D113" s="31" t="s">
        <v>445</v>
      </c>
      <c r="E113" s="26">
        <v>100</v>
      </c>
      <c r="F113" s="28">
        <v>100</v>
      </c>
      <c r="G113" s="23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24" customHeight="1">
      <c r="A114" s="78"/>
      <c r="B114" s="23">
        <v>6</v>
      </c>
      <c r="C114" s="29" t="s">
        <v>71</v>
      </c>
      <c r="D114" s="31" t="s">
        <v>450</v>
      </c>
      <c r="E114" s="26">
        <v>126</v>
      </c>
      <c r="F114" s="28">
        <v>126</v>
      </c>
      <c r="G114" s="23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24" customHeight="1">
      <c r="A115" s="78"/>
      <c r="B115" s="23">
        <v>7</v>
      </c>
      <c r="C115" s="37" t="s">
        <v>453</v>
      </c>
      <c r="D115" s="31" t="s">
        <v>454</v>
      </c>
      <c r="E115" s="26">
        <v>100</v>
      </c>
      <c r="F115" s="28">
        <v>100</v>
      </c>
      <c r="G115" s="23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24" customHeight="1">
      <c r="A116" s="78"/>
      <c r="B116" s="23">
        <v>8</v>
      </c>
      <c r="C116" s="39" t="s">
        <v>458</v>
      </c>
      <c r="D116" s="31" t="s">
        <v>459</v>
      </c>
      <c r="E116" s="26">
        <v>75</v>
      </c>
      <c r="F116" s="28">
        <v>75</v>
      </c>
      <c r="G116" s="23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24" customHeight="1">
      <c r="A117" s="78"/>
      <c r="B117" s="23">
        <v>9</v>
      </c>
      <c r="C117" s="37" t="s">
        <v>461</v>
      </c>
      <c r="D117" s="31" t="s">
        <v>462</v>
      </c>
      <c r="E117" s="26">
        <v>60</v>
      </c>
      <c r="F117" s="28">
        <v>60</v>
      </c>
      <c r="G117" s="23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24" customHeight="1">
      <c r="A118" s="78"/>
      <c r="B118" s="23">
        <v>10</v>
      </c>
      <c r="C118" s="39" t="s">
        <v>144</v>
      </c>
      <c r="D118" s="31" t="s">
        <v>468</v>
      </c>
      <c r="E118" s="26">
        <v>100</v>
      </c>
      <c r="F118" s="28">
        <v>100</v>
      </c>
      <c r="G118" s="23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24" customHeight="1">
      <c r="A119" s="78"/>
      <c r="B119" s="23">
        <v>11</v>
      </c>
      <c r="C119" s="39" t="s">
        <v>168</v>
      </c>
      <c r="D119" s="31" t="s">
        <v>472</v>
      </c>
      <c r="E119" s="26">
        <v>75</v>
      </c>
      <c r="F119" s="28">
        <v>75</v>
      </c>
      <c r="G119" s="23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24" customHeight="1">
      <c r="A120" s="78"/>
      <c r="B120" s="23">
        <v>12</v>
      </c>
      <c r="C120" s="37" t="s">
        <v>274</v>
      </c>
      <c r="D120" s="31" t="s">
        <v>475</v>
      </c>
      <c r="E120" s="26">
        <v>120</v>
      </c>
      <c r="F120" s="28">
        <v>120</v>
      </c>
      <c r="G120" s="23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24" customHeight="1">
      <c r="A121" s="78"/>
      <c r="B121" s="72"/>
      <c r="C121" s="74"/>
      <c r="D121" s="76"/>
      <c r="E121" s="77">
        <f t="shared" ref="E121:F121" si="2">SUM(E108:E120)</f>
        <v>986</v>
      </c>
      <c r="F121" s="77">
        <f t="shared" si="2"/>
        <v>986</v>
      </c>
      <c r="G121" s="77">
        <f>E121-F121</f>
        <v>0</v>
      </c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24" customHeight="1">
      <c r="A122" s="78"/>
      <c r="B122" s="87"/>
      <c r="C122" s="33"/>
      <c r="D122" s="33"/>
      <c r="E122" s="88"/>
      <c r="F122" s="89"/>
      <c r="G122" s="8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24" customHeight="1">
      <c r="A123" s="78"/>
      <c r="B123" s="191" t="s">
        <v>486</v>
      </c>
      <c r="C123" s="192"/>
      <c r="D123" s="192"/>
      <c r="E123" s="192"/>
      <c r="F123" s="192"/>
      <c r="G123" s="193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24" customHeight="1">
      <c r="A124" s="78"/>
      <c r="B124" s="194" t="s">
        <v>1</v>
      </c>
      <c r="C124" s="196" t="s">
        <v>2</v>
      </c>
      <c r="D124" s="198" t="s">
        <v>4</v>
      </c>
      <c r="E124" s="216" t="s">
        <v>5</v>
      </c>
      <c r="F124" s="217" t="s">
        <v>6</v>
      </c>
      <c r="G124" s="196" t="s">
        <v>7</v>
      </c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24" customHeight="1">
      <c r="A125" s="78"/>
      <c r="B125" s="195"/>
      <c r="C125" s="197"/>
      <c r="D125" s="199"/>
      <c r="E125" s="201"/>
      <c r="F125" s="195"/>
      <c r="G125" s="19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24" customHeight="1">
      <c r="A126" s="78"/>
      <c r="B126" s="23"/>
      <c r="C126" s="105" t="s">
        <v>501</v>
      </c>
      <c r="D126" s="23"/>
      <c r="E126" s="26"/>
      <c r="F126" s="28"/>
      <c r="G126" s="23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24" customHeight="1">
      <c r="A127" s="78"/>
      <c r="B127" s="23">
        <v>1</v>
      </c>
      <c r="C127" s="29" t="s">
        <v>502</v>
      </c>
      <c r="D127" s="31" t="s">
        <v>503</v>
      </c>
      <c r="E127" s="26">
        <v>30</v>
      </c>
      <c r="F127" s="28">
        <v>30</v>
      </c>
      <c r="G127" s="23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24" customHeight="1">
      <c r="A128" s="78"/>
      <c r="B128" s="23">
        <v>2</v>
      </c>
      <c r="C128" s="29" t="s">
        <v>504</v>
      </c>
      <c r="D128" s="31" t="s">
        <v>505</v>
      </c>
      <c r="E128" s="26">
        <v>40</v>
      </c>
      <c r="F128" s="28">
        <v>40</v>
      </c>
      <c r="G128" s="23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24" customHeight="1">
      <c r="A129" s="78"/>
      <c r="B129" s="23">
        <v>3</v>
      </c>
      <c r="C129" s="29" t="s">
        <v>506</v>
      </c>
      <c r="D129" s="31" t="s">
        <v>507</v>
      </c>
      <c r="E129" s="32">
        <v>35</v>
      </c>
      <c r="F129" s="28">
        <f>E129</f>
        <v>35</v>
      </c>
      <c r="G129" s="23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24" customHeight="1">
      <c r="A130" s="78"/>
      <c r="B130" s="23">
        <v>4</v>
      </c>
      <c r="C130" s="29" t="s">
        <v>508</v>
      </c>
      <c r="D130" s="31" t="s">
        <v>509</v>
      </c>
      <c r="E130" s="26">
        <v>50</v>
      </c>
      <c r="F130" s="28">
        <v>50</v>
      </c>
      <c r="G130" s="23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24" customHeight="1">
      <c r="A131" s="78"/>
      <c r="B131" s="23">
        <v>5</v>
      </c>
      <c r="C131" s="29" t="s">
        <v>243</v>
      </c>
      <c r="D131" s="31" t="s">
        <v>512</v>
      </c>
      <c r="E131" s="88">
        <v>75</v>
      </c>
      <c r="F131" s="28">
        <f t="shared" ref="F131:F132" si="3">E131</f>
        <v>75</v>
      </c>
      <c r="G131" s="23" t="s">
        <v>513</v>
      </c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24" customHeight="1">
      <c r="A132" s="78"/>
      <c r="B132" s="23">
        <v>6</v>
      </c>
      <c r="C132" s="117" t="s">
        <v>514</v>
      </c>
      <c r="D132" s="31" t="s">
        <v>515</v>
      </c>
      <c r="E132" s="88">
        <v>100</v>
      </c>
      <c r="F132" s="28">
        <f t="shared" si="3"/>
        <v>100</v>
      </c>
      <c r="G132" s="23" t="s">
        <v>513</v>
      </c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24" customHeight="1">
      <c r="A133" s="78"/>
      <c r="B133" s="23">
        <v>7</v>
      </c>
      <c r="C133" s="117" t="s">
        <v>516</v>
      </c>
      <c r="D133" s="31" t="s">
        <v>517</v>
      </c>
      <c r="E133" s="88">
        <v>100</v>
      </c>
      <c r="F133" s="28">
        <v>100</v>
      </c>
      <c r="G133" s="23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24" customHeight="1">
      <c r="A134" s="78"/>
      <c r="B134" s="23">
        <v>8</v>
      </c>
      <c r="C134" s="29" t="s">
        <v>107</v>
      </c>
      <c r="D134" s="31" t="s">
        <v>518</v>
      </c>
      <c r="E134" s="88">
        <v>330</v>
      </c>
      <c r="F134" s="28">
        <f>E134</f>
        <v>330</v>
      </c>
      <c r="G134" s="23" t="s">
        <v>520</v>
      </c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24" customHeight="1">
      <c r="A135" s="78"/>
      <c r="B135" s="23">
        <v>9</v>
      </c>
      <c r="C135" s="117" t="s">
        <v>231</v>
      </c>
      <c r="D135" s="31" t="s">
        <v>524</v>
      </c>
      <c r="E135" s="88">
        <v>100</v>
      </c>
      <c r="F135" s="28">
        <v>100</v>
      </c>
      <c r="G135" s="23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24" customHeight="1">
      <c r="A136" s="78"/>
      <c r="B136" s="23">
        <v>10</v>
      </c>
      <c r="C136" s="117" t="s">
        <v>350</v>
      </c>
      <c r="D136" s="31" t="s">
        <v>531</v>
      </c>
      <c r="E136" s="88">
        <v>80</v>
      </c>
      <c r="F136" s="28">
        <v>80</v>
      </c>
      <c r="G136" s="23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24" customHeight="1">
      <c r="A137" s="78"/>
      <c r="B137" s="23">
        <v>11</v>
      </c>
      <c r="C137" s="117" t="s">
        <v>357</v>
      </c>
      <c r="D137" s="31" t="s">
        <v>535</v>
      </c>
      <c r="E137" s="88">
        <v>100</v>
      </c>
      <c r="F137" s="28">
        <v>100</v>
      </c>
      <c r="G137" s="23" t="s">
        <v>513</v>
      </c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24" customHeight="1">
      <c r="A138" s="78"/>
      <c r="B138" s="23">
        <v>12</v>
      </c>
      <c r="C138" s="117" t="s">
        <v>387</v>
      </c>
      <c r="D138" s="31" t="s">
        <v>541</v>
      </c>
      <c r="E138" s="88">
        <v>60</v>
      </c>
      <c r="F138" s="28">
        <v>60</v>
      </c>
      <c r="G138" s="23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24" customHeight="1">
      <c r="A139" s="78"/>
      <c r="B139" s="23">
        <v>13</v>
      </c>
      <c r="C139" s="117" t="s">
        <v>392</v>
      </c>
      <c r="D139" s="31" t="s">
        <v>546</v>
      </c>
      <c r="E139" s="26">
        <v>75</v>
      </c>
      <c r="F139" s="28">
        <f t="shared" ref="F139:F141" si="4">E139</f>
        <v>75</v>
      </c>
      <c r="G139" s="23" t="s">
        <v>513</v>
      </c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24" customHeight="1">
      <c r="A140" s="78"/>
      <c r="B140" s="23">
        <v>14</v>
      </c>
      <c r="C140" s="117" t="s">
        <v>79</v>
      </c>
      <c r="D140" s="31" t="s">
        <v>550</v>
      </c>
      <c r="E140" s="26">
        <v>100</v>
      </c>
      <c r="F140" s="28">
        <f t="shared" si="4"/>
        <v>100</v>
      </c>
      <c r="G140" s="23" t="s">
        <v>513</v>
      </c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24" customHeight="1">
      <c r="A141" s="78"/>
      <c r="B141" s="23">
        <v>15</v>
      </c>
      <c r="C141" s="117" t="s">
        <v>260</v>
      </c>
      <c r="D141" s="31" t="s">
        <v>556</v>
      </c>
      <c r="E141" s="26">
        <v>100</v>
      </c>
      <c r="F141" s="28">
        <f t="shared" si="4"/>
        <v>100</v>
      </c>
      <c r="G141" s="23" t="s">
        <v>513</v>
      </c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24" customHeight="1">
      <c r="A142" s="78"/>
      <c r="B142" s="23">
        <v>16</v>
      </c>
      <c r="C142" s="117" t="s">
        <v>68</v>
      </c>
      <c r="D142" s="31" t="s">
        <v>561</v>
      </c>
      <c r="E142" s="26">
        <v>75</v>
      </c>
      <c r="F142" s="28">
        <v>75</v>
      </c>
      <c r="G142" s="23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24" customHeight="1">
      <c r="A143" s="78"/>
      <c r="B143" s="23">
        <v>17</v>
      </c>
      <c r="C143" s="117" t="s">
        <v>254</v>
      </c>
      <c r="D143" s="31" t="s">
        <v>566</v>
      </c>
      <c r="E143" s="26">
        <v>100</v>
      </c>
      <c r="F143" s="28">
        <v>100</v>
      </c>
      <c r="G143" s="23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24" customHeight="1">
      <c r="A144" s="78"/>
      <c r="B144" s="23">
        <v>18</v>
      </c>
      <c r="C144" s="117" t="s">
        <v>114</v>
      </c>
      <c r="D144" s="31" t="s">
        <v>569</v>
      </c>
      <c r="E144" s="88">
        <v>75</v>
      </c>
      <c r="F144" s="28">
        <f>E144</f>
        <v>75</v>
      </c>
      <c r="G144" s="23" t="s">
        <v>513</v>
      </c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24" customHeight="1">
      <c r="A145" s="78"/>
      <c r="B145" s="23">
        <v>19</v>
      </c>
      <c r="C145" s="29" t="s">
        <v>88</v>
      </c>
      <c r="D145" s="31" t="s">
        <v>575</v>
      </c>
      <c r="E145" s="88">
        <v>70</v>
      </c>
      <c r="F145" s="28">
        <v>70</v>
      </c>
      <c r="G145" s="23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24" customHeight="1">
      <c r="A146" s="78"/>
      <c r="B146" s="23">
        <v>20</v>
      </c>
      <c r="C146" s="117" t="s">
        <v>92</v>
      </c>
      <c r="D146" s="31" t="s">
        <v>576</v>
      </c>
      <c r="E146" s="88">
        <v>100</v>
      </c>
      <c r="F146" s="28">
        <f t="shared" ref="F146:F147" si="5">E146</f>
        <v>100</v>
      </c>
      <c r="G146" s="23" t="s">
        <v>513</v>
      </c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24" customHeight="1">
      <c r="A147" s="78"/>
      <c r="B147" s="23">
        <v>21</v>
      </c>
      <c r="C147" s="117" t="s">
        <v>347</v>
      </c>
      <c r="D147" s="31" t="s">
        <v>578</v>
      </c>
      <c r="E147" s="88">
        <v>100</v>
      </c>
      <c r="F147" s="28">
        <f t="shared" si="5"/>
        <v>100</v>
      </c>
      <c r="G147" s="23" t="s">
        <v>513</v>
      </c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24" customHeight="1">
      <c r="A148" s="78"/>
      <c r="B148" s="23">
        <v>22</v>
      </c>
      <c r="C148" s="117" t="s">
        <v>173</v>
      </c>
      <c r="D148" s="31" t="s">
        <v>580</v>
      </c>
      <c r="E148" s="88">
        <v>90</v>
      </c>
      <c r="F148" s="28">
        <v>90</v>
      </c>
      <c r="G148" s="121" t="s">
        <v>581</v>
      </c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24" customHeight="1">
      <c r="A149" s="78"/>
      <c r="B149" s="23">
        <v>23</v>
      </c>
      <c r="C149" s="117" t="s">
        <v>101</v>
      </c>
      <c r="D149" s="31" t="s">
        <v>582</v>
      </c>
      <c r="E149" s="88">
        <v>75</v>
      </c>
      <c r="F149" s="28">
        <v>75</v>
      </c>
      <c r="G149" s="23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24" customHeight="1">
      <c r="A150" s="78"/>
      <c r="B150" s="23">
        <v>24</v>
      </c>
      <c r="C150" s="117" t="s">
        <v>125</v>
      </c>
      <c r="D150" s="31" t="s">
        <v>584</v>
      </c>
      <c r="E150" s="88">
        <v>120</v>
      </c>
      <c r="F150" s="28">
        <v>120</v>
      </c>
      <c r="G150" s="23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24" customHeight="1">
      <c r="A151" s="78"/>
      <c r="B151" s="23">
        <v>25</v>
      </c>
      <c r="C151" s="117" t="s">
        <v>130</v>
      </c>
      <c r="D151" s="31" t="s">
        <v>586</v>
      </c>
      <c r="E151" s="88">
        <v>75</v>
      </c>
      <c r="F151" s="28">
        <f>E151</f>
        <v>75</v>
      </c>
      <c r="G151" s="23" t="s">
        <v>513</v>
      </c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24" customHeight="1">
      <c r="A152" s="78"/>
      <c r="B152" s="23">
        <v>26</v>
      </c>
      <c r="C152" s="117" t="s">
        <v>365</v>
      </c>
      <c r="D152" s="31" t="s">
        <v>595</v>
      </c>
      <c r="E152" s="88">
        <v>100</v>
      </c>
      <c r="F152" s="28">
        <v>100</v>
      </c>
      <c r="G152" s="23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24" customHeight="1">
      <c r="A153" s="78"/>
      <c r="B153" s="23">
        <v>27</v>
      </c>
      <c r="C153" s="117" t="s">
        <v>61</v>
      </c>
      <c r="D153" s="31" t="s">
        <v>597</v>
      </c>
      <c r="E153" s="88">
        <v>106.6</v>
      </c>
      <c r="F153" s="28">
        <v>106.6</v>
      </c>
      <c r="G153" s="23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24" customHeight="1">
      <c r="A154" s="78"/>
      <c r="B154" s="23">
        <v>28</v>
      </c>
      <c r="C154" s="29" t="s">
        <v>97</v>
      </c>
      <c r="D154" s="31" t="s">
        <v>599</v>
      </c>
      <c r="E154" s="26">
        <v>100</v>
      </c>
      <c r="F154" s="28">
        <v>100</v>
      </c>
      <c r="G154" s="23" t="s">
        <v>513</v>
      </c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24" customHeight="1">
      <c r="A155" s="78"/>
      <c r="B155" s="23">
        <v>29</v>
      </c>
      <c r="C155" s="29" t="s">
        <v>71</v>
      </c>
      <c r="D155" s="31" t="s">
        <v>600</v>
      </c>
      <c r="E155" s="26">
        <v>126</v>
      </c>
      <c r="F155" s="28">
        <f>E155</f>
        <v>126</v>
      </c>
      <c r="G155" s="121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24" customHeight="1">
      <c r="A156" s="78"/>
      <c r="B156" s="23"/>
      <c r="C156" s="19"/>
      <c r="D156" s="31"/>
      <c r="E156" s="32"/>
      <c r="F156" s="28"/>
      <c r="G156" s="31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24" customHeight="1">
      <c r="A157" s="78"/>
      <c r="B157" s="23"/>
      <c r="C157" s="19"/>
      <c r="D157" s="31"/>
      <c r="E157" s="32"/>
      <c r="F157" s="28"/>
      <c r="G157" s="31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24" customHeight="1">
      <c r="A158" s="78"/>
      <c r="B158" s="23"/>
      <c r="C158" s="19"/>
      <c r="D158" s="31"/>
      <c r="E158" s="32"/>
      <c r="F158" s="28"/>
      <c r="G158" s="31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24" customHeight="1">
      <c r="A159" s="78"/>
      <c r="B159" s="23"/>
      <c r="C159" s="19"/>
      <c r="D159" s="31"/>
      <c r="E159" s="69"/>
      <c r="F159" s="71"/>
      <c r="G159" s="6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24" customHeight="1">
      <c r="A160" s="78"/>
      <c r="B160" s="72"/>
      <c r="C160" s="74"/>
      <c r="D160" s="76"/>
      <c r="E160" s="77">
        <f t="shared" ref="E160:F160" si="6">SUM(E126:E159)</f>
        <v>2687.6</v>
      </c>
      <c r="F160" s="77">
        <f t="shared" si="6"/>
        <v>2687.6</v>
      </c>
      <c r="G160" s="77">
        <f>E160-F160</f>
        <v>0</v>
      </c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24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24" customHeight="1">
      <c r="A162" s="78"/>
      <c r="B162" s="191" t="s">
        <v>621</v>
      </c>
      <c r="C162" s="192"/>
      <c r="D162" s="192"/>
      <c r="E162" s="192"/>
      <c r="F162" s="192"/>
      <c r="G162" s="193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24" customHeight="1">
      <c r="A163" s="78"/>
      <c r="B163" s="194" t="s">
        <v>1</v>
      </c>
      <c r="C163" s="196" t="s">
        <v>2</v>
      </c>
      <c r="D163" s="198" t="s">
        <v>4</v>
      </c>
      <c r="E163" s="216" t="s">
        <v>5</v>
      </c>
      <c r="F163" s="217" t="s">
        <v>6</v>
      </c>
      <c r="G163" s="196" t="s">
        <v>7</v>
      </c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24" customHeight="1">
      <c r="A164" s="78"/>
      <c r="B164" s="195"/>
      <c r="C164" s="197"/>
      <c r="D164" s="199"/>
      <c r="E164" s="201"/>
      <c r="F164" s="195"/>
      <c r="G164" s="19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24" customHeight="1">
      <c r="A165" s="78"/>
      <c r="B165" s="23"/>
      <c r="C165" s="105" t="s">
        <v>585</v>
      </c>
      <c r="D165" s="23"/>
      <c r="E165" s="26"/>
      <c r="F165" s="28"/>
      <c r="G165" s="23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24" customHeight="1">
      <c r="A166" s="78"/>
      <c r="B166" s="23">
        <v>1</v>
      </c>
      <c r="C166" s="39" t="s">
        <v>287</v>
      </c>
      <c r="D166" s="31" t="s">
        <v>652</v>
      </c>
      <c r="E166" s="26">
        <v>25</v>
      </c>
      <c r="F166" s="28">
        <f t="shared" ref="F166:F167" si="7">E166</f>
        <v>25</v>
      </c>
      <c r="G166" s="23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24" customHeight="1">
      <c r="A167" s="78"/>
      <c r="B167" s="23">
        <v>2</v>
      </c>
      <c r="C167" s="39" t="s">
        <v>329</v>
      </c>
      <c r="D167" s="31" t="s">
        <v>661</v>
      </c>
      <c r="E167" s="32">
        <v>100</v>
      </c>
      <c r="F167" s="28">
        <f t="shared" si="7"/>
        <v>100</v>
      </c>
      <c r="G167" s="23" t="s">
        <v>666</v>
      </c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24" customHeight="1">
      <c r="A168" s="78"/>
      <c r="B168" s="23">
        <v>3</v>
      </c>
      <c r="C168" s="39" t="s">
        <v>669</v>
      </c>
      <c r="D168" s="31" t="s">
        <v>670</v>
      </c>
      <c r="E168" s="32">
        <v>100</v>
      </c>
      <c r="F168" s="28">
        <v>100</v>
      </c>
      <c r="G168" s="23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24" customHeight="1">
      <c r="A169" s="78"/>
      <c r="B169" s="23">
        <v>4</v>
      </c>
      <c r="C169" s="39" t="s">
        <v>672</v>
      </c>
      <c r="D169" s="31" t="s">
        <v>673</v>
      </c>
      <c r="E169" s="32">
        <v>80</v>
      </c>
      <c r="F169" s="28">
        <f t="shared" ref="F169:F173" si="8">E169</f>
        <v>80</v>
      </c>
      <c r="G169" s="23" t="s">
        <v>674</v>
      </c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24" customHeight="1">
      <c r="A170" s="78"/>
      <c r="B170" s="23">
        <v>5</v>
      </c>
      <c r="C170" s="39" t="s">
        <v>8</v>
      </c>
      <c r="D170" s="31" t="s">
        <v>675</v>
      </c>
      <c r="E170" s="32">
        <v>75</v>
      </c>
      <c r="F170" s="28">
        <f t="shared" si="8"/>
        <v>75</v>
      </c>
      <c r="G170" s="23" t="s">
        <v>676</v>
      </c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24" customHeight="1">
      <c r="A171" s="78"/>
      <c r="B171" s="23">
        <v>6</v>
      </c>
      <c r="C171" s="39" t="s">
        <v>677</v>
      </c>
      <c r="D171" s="31" t="s">
        <v>678</v>
      </c>
      <c r="E171" s="32">
        <v>20</v>
      </c>
      <c r="F171" s="28">
        <f t="shared" si="8"/>
        <v>20</v>
      </c>
      <c r="G171" s="23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24" customHeight="1">
      <c r="A172" s="78"/>
      <c r="B172" s="23">
        <v>7</v>
      </c>
      <c r="C172" s="117" t="s">
        <v>384</v>
      </c>
      <c r="D172" s="31" t="s">
        <v>680</v>
      </c>
      <c r="E172" s="32">
        <v>75</v>
      </c>
      <c r="F172" s="28">
        <f t="shared" si="8"/>
        <v>75</v>
      </c>
      <c r="G172" s="23" t="s">
        <v>682</v>
      </c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24" customHeight="1">
      <c r="A173" s="78"/>
      <c r="B173" s="23">
        <v>8</v>
      </c>
      <c r="C173" s="39" t="s">
        <v>59</v>
      </c>
      <c r="D173" s="31" t="s">
        <v>685</v>
      </c>
      <c r="E173" s="32">
        <v>50</v>
      </c>
      <c r="F173" s="28">
        <f t="shared" si="8"/>
        <v>50</v>
      </c>
      <c r="G173" s="23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24" customHeight="1">
      <c r="A174" s="78"/>
      <c r="B174" s="23">
        <v>9</v>
      </c>
      <c r="C174" s="39" t="s">
        <v>453</v>
      </c>
      <c r="D174" s="31" t="s">
        <v>686</v>
      </c>
      <c r="E174" s="32">
        <v>75</v>
      </c>
      <c r="F174" s="28">
        <v>75</v>
      </c>
      <c r="G174" s="23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24" customHeight="1">
      <c r="A175" s="78"/>
      <c r="B175" s="23">
        <v>10</v>
      </c>
      <c r="C175" s="39" t="s">
        <v>458</v>
      </c>
      <c r="D175" s="31" t="s">
        <v>687</v>
      </c>
      <c r="E175" s="32">
        <v>50</v>
      </c>
      <c r="F175" s="28">
        <f t="shared" ref="F175:F179" si="9">E175</f>
        <v>50</v>
      </c>
      <c r="G175" s="23" t="s">
        <v>690</v>
      </c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24" customHeight="1">
      <c r="A176" s="78"/>
      <c r="B176" s="23">
        <v>11</v>
      </c>
      <c r="C176" s="39" t="s">
        <v>71</v>
      </c>
      <c r="D176" s="31" t="s">
        <v>693</v>
      </c>
      <c r="E176" s="32">
        <v>126</v>
      </c>
      <c r="F176" s="28">
        <f t="shared" si="9"/>
        <v>126</v>
      </c>
      <c r="G176" s="23" t="s">
        <v>520</v>
      </c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2:7" ht="24" customHeight="1">
      <c r="B177" s="23">
        <v>12</v>
      </c>
      <c r="C177" s="39" t="s">
        <v>147</v>
      </c>
      <c r="D177" s="31" t="s">
        <v>697</v>
      </c>
      <c r="E177" s="32">
        <v>60</v>
      </c>
      <c r="F177" s="28">
        <f t="shared" si="9"/>
        <v>60</v>
      </c>
      <c r="G177" s="23"/>
    </row>
    <row r="178" spans="2:7" ht="24" customHeight="1">
      <c r="B178" s="23">
        <v>13</v>
      </c>
      <c r="C178" s="39" t="s">
        <v>220</v>
      </c>
      <c r="D178" s="31" t="s">
        <v>699</v>
      </c>
      <c r="E178" s="32">
        <v>120</v>
      </c>
      <c r="F178" s="28">
        <f t="shared" si="9"/>
        <v>120</v>
      </c>
      <c r="G178" s="23" t="s">
        <v>666</v>
      </c>
    </row>
    <row r="179" spans="2:7" ht="24" customHeight="1">
      <c r="B179" s="23">
        <v>14</v>
      </c>
      <c r="C179" s="39" t="s">
        <v>119</v>
      </c>
      <c r="D179" s="31" t="s">
        <v>702</v>
      </c>
      <c r="E179" s="32">
        <v>50</v>
      </c>
      <c r="F179" s="28">
        <f t="shared" si="9"/>
        <v>50</v>
      </c>
      <c r="G179" s="23" t="s">
        <v>666</v>
      </c>
    </row>
    <row r="180" spans="2:7" ht="24" customHeight="1">
      <c r="B180" s="23"/>
      <c r="C180" s="39"/>
      <c r="D180" s="31"/>
      <c r="E180" s="32"/>
      <c r="F180" s="28"/>
      <c r="G180" s="23"/>
    </row>
    <row r="181" spans="2:7" ht="24" customHeight="1">
      <c r="B181" s="23"/>
      <c r="C181" s="19"/>
      <c r="D181" s="31"/>
      <c r="E181" s="69"/>
      <c r="F181" s="71"/>
      <c r="G181" s="68"/>
    </row>
    <row r="182" spans="2:7" ht="24" customHeight="1">
      <c r="B182" s="72"/>
      <c r="C182" s="74"/>
      <c r="D182" s="76"/>
      <c r="E182" s="77">
        <f t="shared" ref="E182:F182" si="10">SUM(E165:E181)</f>
        <v>1006</v>
      </c>
      <c r="F182" s="77">
        <f t="shared" si="10"/>
        <v>1006</v>
      </c>
      <c r="G182" s="77">
        <f>E182-F182</f>
        <v>0</v>
      </c>
    </row>
    <row r="183" spans="2:7" ht="24" customHeight="1"/>
    <row r="184" spans="2:7" ht="24" customHeight="1">
      <c r="B184" s="191" t="s">
        <v>710</v>
      </c>
      <c r="C184" s="192"/>
      <c r="D184" s="192"/>
      <c r="E184" s="192"/>
      <c r="F184" s="192"/>
      <c r="G184" s="193"/>
    </row>
    <row r="185" spans="2:7" ht="24" customHeight="1">
      <c r="B185" s="194" t="s">
        <v>1</v>
      </c>
      <c r="C185" s="196" t="s">
        <v>2</v>
      </c>
      <c r="D185" s="198" t="s">
        <v>4</v>
      </c>
      <c r="E185" s="216" t="s">
        <v>5</v>
      </c>
      <c r="F185" s="217" t="s">
        <v>6</v>
      </c>
      <c r="G185" s="196" t="s">
        <v>7</v>
      </c>
    </row>
    <row r="186" spans="2:7" ht="24" customHeight="1">
      <c r="B186" s="195"/>
      <c r="C186" s="197"/>
      <c r="D186" s="199"/>
      <c r="E186" s="201"/>
      <c r="F186" s="195"/>
      <c r="G186" s="197"/>
    </row>
    <row r="187" spans="2:7" ht="24" customHeight="1">
      <c r="B187" s="23"/>
      <c r="C187" s="105" t="s">
        <v>603</v>
      </c>
      <c r="D187" s="23"/>
      <c r="E187" s="26"/>
      <c r="F187" s="28"/>
      <c r="G187" s="23"/>
    </row>
    <row r="188" spans="2:7" ht="24" customHeight="1">
      <c r="B188" s="23">
        <v>1</v>
      </c>
      <c r="C188" s="29" t="s">
        <v>725</v>
      </c>
      <c r="D188" s="33" t="s">
        <v>726</v>
      </c>
      <c r="E188" s="26">
        <v>25</v>
      </c>
      <c r="F188" s="28">
        <v>25</v>
      </c>
      <c r="G188" s="23"/>
    </row>
    <row r="189" spans="2:7" ht="24" customHeight="1">
      <c r="B189" s="23">
        <v>2</v>
      </c>
      <c r="C189" s="29" t="s">
        <v>729</v>
      </c>
      <c r="D189" s="33" t="s">
        <v>730</v>
      </c>
      <c r="E189" s="26">
        <v>25</v>
      </c>
      <c r="F189" s="28">
        <f t="shared" ref="F189:F198" si="11">E189</f>
        <v>25</v>
      </c>
      <c r="G189" s="23"/>
    </row>
    <row r="190" spans="2:7" ht="24" customHeight="1">
      <c r="B190" s="23">
        <v>3</v>
      </c>
      <c r="C190" s="117" t="s">
        <v>735</v>
      </c>
      <c r="D190" s="31" t="s">
        <v>736</v>
      </c>
      <c r="E190" s="26">
        <v>60</v>
      </c>
      <c r="F190" s="28">
        <f t="shared" si="11"/>
        <v>60</v>
      </c>
      <c r="G190" s="23"/>
    </row>
    <row r="191" spans="2:7" ht="24" customHeight="1">
      <c r="B191" s="23">
        <v>4</v>
      </c>
      <c r="C191" s="117" t="s">
        <v>739</v>
      </c>
      <c r="D191" s="31" t="s">
        <v>740</v>
      </c>
      <c r="E191" s="26">
        <f>75</f>
        <v>75</v>
      </c>
      <c r="F191" s="28">
        <f t="shared" si="11"/>
        <v>75</v>
      </c>
      <c r="G191" s="23"/>
    </row>
    <row r="192" spans="2:7" ht="24" customHeight="1">
      <c r="B192" s="23">
        <v>5</v>
      </c>
      <c r="C192" s="29" t="s">
        <v>751</v>
      </c>
      <c r="D192" s="33" t="s">
        <v>753</v>
      </c>
      <c r="E192" s="26">
        <v>25</v>
      </c>
      <c r="F192" s="28">
        <f t="shared" si="11"/>
        <v>25</v>
      </c>
      <c r="G192" s="23"/>
    </row>
    <row r="193" spans="2:7" ht="24" customHeight="1">
      <c r="B193" s="23">
        <v>6</v>
      </c>
      <c r="C193" s="29" t="s">
        <v>90</v>
      </c>
      <c r="D193" s="33" t="s">
        <v>756</v>
      </c>
      <c r="E193" s="26">
        <v>120</v>
      </c>
      <c r="F193" s="28">
        <f t="shared" si="11"/>
        <v>120</v>
      </c>
      <c r="G193" s="23"/>
    </row>
    <row r="194" spans="2:7" ht="24" customHeight="1">
      <c r="B194" s="23">
        <v>7</v>
      </c>
      <c r="C194" s="29" t="s">
        <v>757</v>
      </c>
      <c r="D194" s="33" t="s">
        <v>758</v>
      </c>
      <c r="E194" s="26">
        <v>75</v>
      </c>
      <c r="F194" s="28">
        <f t="shared" si="11"/>
        <v>75</v>
      </c>
      <c r="G194" s="23"/>
    </row>
    <row r="195" spans="2:7" ht="24" customHeight="1">
      <c r="B195" s="23">
        <v>8</v>
      </c>
      <c r="C195" s="29" t="s">
        <v>53</v>
      </c>
      <c r="D195" s="33" t="s">
        <v>759</v>
      </c>
      <c r="E195" s="26">
        <f>4*22</f>
        <v>88</v>
      </c>
      <c r="F195" s="28">
        <f t="shared" si="11"/>
        <v>88</v>
      </c>
      <c r="G195" s="23"/>
    </row>
    <row r="196" spans="2:7" ht="24" customHeight="1">
      <c r="B196" s="23">
        <v>9</v>
      </c>
      <c r="C196" s="29" t="s">
        <v>50</v>
      </c>
      <c r="D196" s="33" t="s">
        <v>760</v>
      </c>
      <c r="E196" s="26">
        <v>45</v>
      </c>
      <c r="F196" s="28">
        <f t="shared" si="11"/>
        <v>45</v>
      </c>
      <c r="G196" s="23"/>
    </row>
    <row r="197" spans="2:7" ht="24" customHeight="1">
      <c r="B197" s="23">
        <v>10</v>
      </c>
      <c r="C197" s="29" t="s">
        <v>353</v>
      </c>
      <c r="D197" s="33" t="s">
        <v>761</v>
      </c>
      <c r="E197" s="26">
        <v>50</v>
      </c>
      <c r="F197" s="28">
        <f t="shared" si="11"/>
        <v>50</v>
      </c>
      <c r="G197" s="23"/>
    </row>
    <row r="198" spans="2:7" ht="24" customHeight="1">
      <c r="B198" s="23">
        <v>11</v>
      </c>
      <c r="C198" s="29" t="s">
        <v>189</v>
      </c>
      <c r="D198" s="33" t="s">
        <v>762</v>
      </c>
      <c r="E198" s="26">
        <v>50</v>
      </c>
      <c r="F198" s="28">
        <f t="shared" si="11"/>
        <v>50</v>
      </c>
      <c r="G198" s="23"/>
    </row>
    <row r="199" spans="2:7" ht="24" customHeight="1">
      <c r="B199" s="23">
        <v>12</v>
      </c>
      <c r="C199" s="29" t="s">
        <v>764</v>
      </c>
      <c r="D199" s="33" t="s">
        <v>765</v>
      </c>
      <c r="E199" s="26">
        <v>75</v>
      </c>
      <c r="F199" s="28">
        <v>75</v>
      </c>
      <c r="G199" s="23"/>
    </row>
    <row r="200" spans="2:7" ht="24" customHeight="1">
      <c r="B200" s="23">
        <v>13</v>
      </c>
      <c r="C200" s="29" t="s">
        <v>107</v>
      </c>
      <c r="D200" s="33" t="s">
        <v>766</v>
      </c>
      <c r="E200" s="26">
        <v>120</v>
      </c>
      <c r="F200" s="28">
        <v>120</v>
      </c>
      <c r="G200" s="23"/>
    </row>
    <row r="201" spans="2:7" ht="24" customHeight="1">
      <c r="B201" s="23">
        <v>14</v>
      </c>
      <c r="C201" s="29" t="s">
        <v>79</v>
      </c>
      <c r="D201" s="33" t="s">
        <v>767</v>
      </c>
      <c r="E201" s="26">
        <v>100</v>
      </c>
      <c r="F201" s="28">
        <f t="shared" ref="F201:F214" si="12">E201</f>
        <v>100</v>
      </c>
      <c r="G201" s="23"/>
    </row>
    <row r="202" spans="2:7" ht="24" customHeight="1">
      <c r="B202" s="23">
        <v>15</v>
      </c>
      <c r="C202" s="29" t="s">
        <v>260</v>
      </c>
      <c r="D202" s="33" t="s">
        <v>768</v>
      </c>
      <c r="E202" s="26">
        <v>100</v>
      </c>
      <c r="F202" s="28">
        <f t="shared" si="12"/>
        <v>100</v>
      </c>
      <c r="G202" s="23"/>
    </row>
    <row r="203" spans="2:7" ht="24" customHeight="1">
      <c r="B203" s="23">
        <v>16</v>
      </c>
      <c r="C203" s="29" t="s">
        <v>63</v>
      </c>
      <c r="D203" s="33" t="s">
        <v>769</v>
      </c>
      <c r="E203" s="26">
        <v>100</v>
      </c>
      <c r="F203" s="28">
        <f t="shared" si="12"/>
        <v>100</v>
      </c>
      <c r="G203" s="23"/>
    </row>
    <row r="204" spans="2:7" ht="24" customHeight="1">
      <c r="B204" s="23">
        <v>17</v>
      </c>
      <c r="C204" s="29" t="s">
        <v>347</v>
      </c>
      <c r="D204" s="33" t="s">
        <v>771</v>
      </c>
      <c r="E204" s="26">
        <v>100</v>
      </c>
      <c r="F204" s="28">
        <f t="shared" si="12"/>
        <v>100</v>
      </c>
      <c r="G204" s="23"/>
    </row>
    <row r="205" spans="2:7" ht="24" customHeight="1">
      <c r="B205" s="23">
        <v>18</v>
      </c>
      <c r="C205" s="29" t="s">
        <v>173</v>
      </c>
      <c r="D205" s="33" t="s">
        <v>774</v>
      </c>
      <c r="E205" s="26">
        <v>90</v>
      </c>
      <c r="F205" s="28">
        <f t="shared" si="12"/>
        <v>90</v>
      </c>
      <c r="G205" s="23"/>
    </row>
    <row r="206" spans="2:7" ht="24" customHeight="1">
      <c r="B206" s="23">
        <v>19</v>
      </c>
      <c r="C206" s="29" t="s">
        <v>137</v>
      </c>
      <c r="D206" s="33" t="s">
        <v>778</v>
      </c>
      <c r="E206" s="26">
        <v>90</v>
      </c>
      <c r="F206" s="28">
        <f t="shared" si="12"/>
        <v>90</v>
      </c>
      <c r="G206" s="23"/>
    </row>
    <row r="207" spans="2:7" ht="24" customHeight="1">
      <c r="B207" s="23">
        <v>20</v>
      </c>
      <c r="C207" s="29" t="s">
        <v>97</v>
      </c>
      <c r="D207" s="33" t="s">
        <v>780</v>
      </c>
      <c r="E207" s="26">
        <v>100</v>
      </c>
      <c r="F207" s="28">
        <f t="shared" si="12"/>
        <v>100</v>
      </c>
      <c r="G207" s="23"/>
    </row>
    <row r="208" spans="2:7" ht="24" customHeight="1">
      <c r="B208" s="23">
        <v>21</v>
      </c>
      <c r="C208" s="29" t="s">
        <v>101</v>
      </c>
      <c r="D208" s="33" t="s">
        <v>784</v>
      </c>
      <c r="E208" s="26">
        <v>75</v>
      </c>
      <c r="F208" s="28">
        <f t="shared" si="12"/>
        <v>75</v>
      </c>
      <c r="G208" s="23"/>
    </row>
    <row r="209" spans="2:7" ht="24" customHeight="1">
      <c r="B209" s="23">
        <v>22</v>
      </c>
      <c r="C209" s="29" t="s">
        <v>71</v>
      </c>
      <c r="D209" s="33" t="s">
        <v>787</v>
      </c>
      <c r="E209" s="26">
        <v>126</v>
      </c>
      <c r="F209" s="28">
        <f t="shared" si="12"/>
        <v>126</v>
      </c>
      <c r="G209" s="23"/>
    </row>
    <row r="210" spans="2:7" ht="24" customHeight="1">
      <c r="B210" s="23">
        <v>23</v>
      </c>
      <c r="C210" s="29" t="s">
        <v>170</v>
      </c>
      <c r="D210" s="33" t="s">
        <v>790</v>
      </c>
      <c r="E210" s="26">
        <v>75</v>
      </c>
      <c r="F210" s="28">
        <f t="shared" si="12"/>
        <v>75</v>
      </c>
      <c r="G210" s="23"/>
    </row>
    <row r="211" spans="2:7" ht="24" customHeight="1">
      <c r="B211" s="23">
        <v>24</v>
      </c>
      <c r="C211" s="29" t="s">
        <v>125</v>
      </c>
      <c r="D211" s="33" t="s">
        <v>792</v>
      </c>
      <c r="E211" s="26">
        <v>120</v>
      </c>
      <c r="F211" s="28">
        <f t="shared" si="12"/>
        <v>120</v>
      </c>
      <c r="G211" s="23"/>
    </row>
    <row r="212" spans="2:7" ht="24" customHeight="1">
      <c r="B212" s="23">
        <v>25</v>
      </c>
      <c r="C212" s="29" t="s">
        <v>794</v>
      </c>
      <c r="D212" s="33" t="s">
        <v>795</v>
      </c>
      <c r="E212" s="26">
        <v>25</v>
      </c>
      <c r="F212" s="28">
        <f t="shared" si="12"/>
        <v>25</v>
      </c>
      <c r="G212" s="23"/>
    </row>
    <row r="213" spans="2:7" ht="24" customHeight="1">
      <c r="B213" s="23">
        <v>26</v>
      </c>
      <c r="C213" s="29" t="s">
        <v>166</v>
      </c>
      <c r="D213" s="33" t="s">
        <v>798</v>
      </c>
      <c r="E213" s="26">
        <v>75</v>
      </c>
      <c r="F213" s="28">
        <f t="shared" si="12"/>
        <v>75</v>
      </c>
      <c r="G213" s="23"/>
    </row>
    <row r="214" spans="2:7" ht="24" customHeight="1">
      <c r="B214" s="23">
        <v>27</v>
      </c>
      <c r="C214" s="29" t="s">
        <v>142</v>
      </c>
      <c r="D214" s="33" t="s">
        <v>802</v>
      </c>
      <c r="E214" s="26">
        <v>100</v>
      </c>
      <c r="F214" s="28">
        <f t="shared" si="12"/>
        <v>100</v>
      </c>
      <c r="G214" s="23"/>
    </row>
    <row r="215" spans="2:7" ht="24" customHeight="1">
      <c r="B215" s="23"/>
      <c r="C215" s="19"/>
      <c r="D215" s="31"/>
      <c r="E215" s="32"/>
      <c r="F215" s="28"/>
      <c r="G215" s="31"/>
    </row>
    <row r="216" spans="2:7" ht="24" customHeight="1">
      <c r="B216" s="72"/>
      <c r="C216" s="72"/>
      <c r="D216" s="76"/>
      <c r="E216" s="77">
        <f t="shared" ref="E216:F216" si="13">SUM(E187:E215)</f>
        <v>2109</v>
      </c>
      <c r="F216" s="77">
        <f t="shared" si="13"/>
        <v>2109</v>
      </c>
      <c r="G216" s="77">
        <f>E216-F216</f>
        <v>0</v>
      </c>
    </row>
    <row r="217" spans="2:7" ht="24" customHeight="1"/>
    <row r="218" spans="2:7" ht="24" customHeight="1">
      <c r="B218" s="191" t="s">
        <v>809</v>
      </c>
      <c r="C218" s="192"/>
      <c r="D218" s="192"/>
      <c r="E218" s="192"/>
      <c r="F218" s="192"/>
      <c r="G218" s="193"/>
    </row>
    <row r="219" spans="2:7" ht="24" customHeight="1">
      <c r="B219" s="194" t="s">
        <v>1</v>
      </c>
      <c r="C219" s="196" t="s">
        <v>2</v>
      </c>
      <c r="D219" s="198" t="s">
        <v>4</v>
      </c>
      <c r="E219" s="216" t="s">
        <v>5</v>
      </c>
      <c r="F219" s="217" t="s">
        <v>6</v>
      </c>
      <c r="G219" s="196" t="s">
        <v>7</v>
      </c>
    </row>
    <row r="220" spans="2:7" ht="24" customHeight="1">
      <c r="B220" s="195"/>
      <c r="C220" s="197"/>
      <c r="D220" s="199"/>
      <c r="E220" s="201"/>
      <c r="F220" s="195"/>
      <c r="G220" s="197"/>
    </row>
    <row r="221" spans="2:7" ht="24" customHeight="1">
      <c r="B221" s="23"/>
      <c r="C221" s="105" t="s">
        <v>688</v>
      </c>
      <c r="D221" s="23"/>
      <c r="E221" s="26"/>
      <c r="F221" s="28"/>
      <c r="G221" s="23"/>
    </row>
    <row r="222" spans="2:7" ht="24" customHeight="1">
      <c r="B222" s="23">
        <v>1</v>
      </c>
      <c r="C222" s="19" t="s">
        <v>819</v>
      </c>
      <c r="D222" s="64" t="s">
        <v>820</v>
      </c>
      <c r="E222" s="26">
        <v>75</v>
      </c>
      <c r="F222" s="28">
        <f t="shared" ref="F222:F236" si="14">E222</f>
        <v>75</v>
      </c>
      <c r="G222" s="23"/>
    </row>
    <row r="223" spans="2:7" ht="24" customHeight="1">
      <c r="B223" s="23">
        <f t="shared" ref="B223:B242" si="15">B222+1</f>
        <v>2</v>
      </c>
      <c r="C223" s="19" t="s">
        <v>824</v>
      </c>
      <c r="D223" s="64" t="s">
        <v>825</v>
      </c>
      <c r="E223" s="26">
        <v>100</v>
      </c>
      <c r="F223" s="28">
        <f t="shared" si="14"/>
        <v>100</v>
      </c>
      <c r="G223" s="23"/>
    </row>
    <row r="224" spans="2:7" ht="24" customHeight="1">
      <c r="B224" s="23">
        <f t="shared" si="15"/>
        <v>3</v>
      </c>
      <c r="C224" s="19" t="s">
        <v>828</v>
      </c>
      <c r="D224" s="64" t="s">
        <v>829</v>
      </c>
      <c r="E224" s="26">
        <v>125</v>
      </c>
      <c r="F224" s="28">
        <f t="shared" si="14"/>
        <v>125</v>
      </c>
      <c r="G224" s="23"/>
    </row>
    <row r="225" spans="2:7" ht="24" customHeight="1">
      <c r="B225" s="23">
        <f t="shared" si="15"/>
        <v>4</v>
      </c>
      <c r="C225" s="19" t="s">
        <v>831</v>
      </c>
      <c r="D225" s="64" t="s">
        <v>832</v>
      </c>
      <c r="E225" s="26">
        <v>120</v>
      </c>
      <c r="F225" s="28">
        <f t="shared" si="14"/>
        <v>120</v>
      </c>
      <c r="G225" s="23"/>
    </row>
    <row r="226" spans="2:7" ht="24" customHeight="1">
      <c r="B226" s="23">
        <f t="shared" si="15"/>
        <v>5</v>
      </c>
      <c r="C226" s="19" t="s">
        <v>835</v>
      </c>
      <c r="D226" s="64" t="s">
        <v>837</v>
      </c>
      <c r="E226" s="26">
        <v>100</v>
      </c>
      <c r="F226" s="124">
        <f t="shared" si="14"/>
        <v>100</v>
      </c>
      <c r="G226" s="23"/>
    </row>
    <row r="227" spans="2:7" ht="24" customHeight="1">
      <c r="B227" s="23">
        <f t="shared" si="15"/>
        <v>6</v>
      </c>
      <c r="C227" s="19" t="s">
        <v>839</v>
      </c>
      <c r="D227" s="64" t="s">
        <v>840</v>
      </c>
      <c r="E227" s="26">
        <v>94.5</v>
      </c>
      <c r="F227" s="124">
        <f t="shared" si="14"/>
        <v>94.5</v>
      </c>
      <c r="G227" s="23"/>
    </row>
    <row r="228" spans="2:7" ht="24" customHeight="1">
      <c r="B228" s="23">
        <f t="shared" si="15"/>
        <v>7</v>
      </c>
      <c r="C228" s="19" t="s">
        <v>841</v>
      </c>
      <c r="D228" s="64" t="s">
        <v>842</v>
      </c>
      <c r="E228" s="26">
        <v>120</v>
      </c>
      <c r="F228" s="124">
        <f t="shared" si="14"/>
        <v>120</v>
      </c>
      <c r="G228" s="23"/>
    </row>
    <row r="229" spans="2:7" ht="24" customHeight="1">
      <c r="B229" s="23">
        <f t="shared" si="15"/>
        <v>8</v>
      </c>
      <c r="C229" s="19" t="s">
        <v>844</v>
      </c>
      <c r="D229" s="64" t="s">
        <v>845</v>
      </c>
      <c r="E229" s="26">
        <v>100</v>
      </c>
      <c r="F229" s="124">
        <f t="shared" si="14"/>
        <v>100</v>
      </c>
      <c r="G229" s="23"/>
    </row>
    <row r="230" spans="2:7" ht="24" customHeight="1">
      <c r="B230" s="23">
        <f t="shared" si="15"/>
        <v>9</v>
      </c>
      <c r="C230" s="19" t="s">
        <v>846</v>
      </c>
      <c r="D230" s="64" t="s">
        <v>848</v>
      </c>
      <c r="E230" s="26">
        <v>70</v>
      </c>
      <c r="F230" s="124">
        <f t="shared" si="14"/>
        <v>70</v>
      </c>
      <c r="G230" s="23"/>
    </row>
    <row r="231" spans="2:7" ht="24" customHeight="1">
      <c r="B231" s="23">
        <f t="shared" si="15"/>
        <v>10</v>
      </c>
      <c r="C231" s="19" t="s">
        <v>852</v>
      </c>
      <c r="D231" s="64" t="s">
        <v>855</v>
      </c>
      <c r="E231" s="26">
        <v>100</v>
      </c>
      <c r="F231" s="124">
        <f t="shared" si="14"/>
        <v>100</v>
      </c>
      <c r="G231" s="23"/>
    </row>
    <row r="232" spans="2:7" ht="24" customHeight="1">
      <c r="B232" s="23">
        <f t="shared" si="15"/>
        <v>11</v>
      </c>
      <c r="C232" s="19" t="s">
        <v>672</v>
      </c>
      <c r="D232" s="64" t="s">
        <v>857</v>
      </c>
      <c r="E232" s="26">
        <v>80</v>
      </c>
      <c r="F232" s="124">
        <f t="shared" si="14"/>
        <v>80</v>
      </c>
      <c r="G232" s="23"/>
    </row>
    <row r="233" spans="2:7" ht="24" customHeight="1">
      <c r="B233" s="23">
        <f t="shared" si="15"/>
        <v>12</v>
      </c>
      <c r="C233" s="19" t="s">
        <v>859</v>
      </c>
      <c r="D233" s="64" t="s">
        <v>860</v>
      </c>
      <c r="E233" s="26">
        <v>80</v>
      </c>
      <c r="F233" s="124">
        <f t="shared" si="14"/>
        <v>80</v>
      </c>
      <c r="G233" s="23"/>
    </row>
    <row r="234" spans="2:7" ht="24" customHeight="1">
      <c r="B234" s="23">
        <f t="shared" si="15"/>
        <v>13</v>
      </c>
      <c r="C234" s="19" t="s">
        <v>863</v>
      </c>
      <c r="D234" s="64" t="s">
        <v>864</v>
      </c>
      <c r="E234" s="26">
        <v>75</v>
      </c>
      <c r="F234" s="124">
        <f t="shared" si="14"/>
        <v>75</v>
      </c>
      <c r="G234" s="23"/>
    </row>
    <row r="235" spans="2:7" ht="24" customHeight="1">
      <c r="B235" s="23">
        <f t="shared" si="15"/>
        <v>14</v>
      </c>
      <c r="C235" s="19" t="s">
        <v>866</v>
      </c>
      <c r="D235" s="64" t="s">
        <v>867</v>
      </c>
      <c r="E235" s="26">
        <v>63</v>
      </c>
      <c r="F235" s="124">
        <f t="shared" si="14"/>
        <v>63</v>
      </c>
      <c r="G235" s="23"/>
    </row>
    <row r="236" spans="2:7" ht="24" customHeight="1">
      <c r="B236" s="23">
        <f t="shared" si="15"/>
        <v>15</v>
      </c>
      <c r="C236" s="19" t="s">
        <v>868</v>
      </c>
      <c r="D236" s="64" t="s">
        <v>869</v>
      </c>
      <c r="E236" s="26">
        <v>75</v>
      </c>
      <c r="F236" s="124">
        <f t="shared" si="14"/>
        <v>75</v>
      </c>
      <c r="G236" s="23"/>
    </row>
    <row r="237" spans="2:7" ht="24" customHeight="1">
      <c r="B237" s="23">
        <f t="shared" si="15"/>
        <v>16</v>
      </c>
      <c r="C237" s="19" t="s">
        <v>873</v>
      </c>
      <c r="D237" s="64" t="s">
        <v>874</v>
      </c>
      <c r="E237" s="26">
        <v>40</v>
      </c>
      <c r="F237" s="124">
        <v>40</v>
      </c>
      <c r="G237" s="23"/>
    </row>
    <row r="238" spans="2:7" ht="24" customHeight="1">
      <c r="B238" s="23">
        <f t="shared" si="15"/>
        <v>17</v>
      </c>
      <c r="C238" s="19" t="s">
        <v>878</v>
      </c>
      <c r="D238" s="64" t="s">
        <v>880</v>
      </c>
      <c r="E238" s="26">
        <v>150</v>
      </c>
      <c r="F238" s="124">
        <f t="shared" ref="F238:F240" si="16">E238</f>
        <v>150</v>
      </c>
      <c r="G238" s="23"/>
    </row>
    <row r="239" spans="2:7" ht="24" customHeight="1">
      <c r="B239" s="23">
        <f t="shared" si="15"/>
        <v>18</v>
      </c>
      <c r="C239" s="19" t="s">
        <v>882</v>
      </c>
      <c r="D239" s="64" t="s">
        <v>883</v>
      </c>
      <c r="E239" s="26">
        <v>150</v>
      </c>
      <c r="F239" s="124">
        <f t="shared" si="16"/>
        <v>150</v>
      </c>
      <c r="G239" s="23"/>
    </row>
    <row r="240" spans="2:7" ht="24" customHeight="1">
      <c r="B240" s="23">
        <f t="shared" si="15"/>
        <v>19</v>
      </c>
      <c r="C240" s="19" t="s">
        <v>885</v>
      </c>
      <c r="D240" s="64" t="s">
        <v>887</v>
      </c>
      <c r="E240" s="26">
        <v>90</v>
      </c>
      <c r="F240" s="124">
        <f t="shared" si="16"/>
        <v>90</v>
      </c>
      <c r="G240" s="23"/>
    </row>
    <row r="241" spans="2:7" ht="24" customHeight="1">
      <c r="B241" s="23">
        <f t="shared" si="15"/>
        <v>20</v>
      </c>
      <c r="C241" s="19" t="s">
        <v>889</v>
      </c>
      <c r="D241" s="64" t="s">
        <v>890</v>
      </c>
      <c r="E241" s="26">
        <v>75</v>
      </c>
      <c r="F241" s="124">
        <v>75</v>
      </c>
      <c r="G241" s="23"/>
    </row>
    <row r="242" spans="2:7" ht="24" customHeight="1">
      <c r="B242" s="23">
        <f t="shared" si="15"/>
        <v>21</v>
      </c>
      <c r="C242" s="19" t="s">
        <v>892</v>
      </c>
      <c r="D242" s="64" t="s">
        <v>893</v>
      </c>
      <c r="E242" s="26">
        <v>160</v>
      </c>
      <c r="F242" s="124">
        <f t="shared" ref="F242:F243" si="17">E242</f>
        <v>160</v>
      </c>
      <c r="G242" s="23"/>
    </row>
    <row r="243" spans="2:7" ht="24" customHeight="1">
      <c r="B243" s="23">
        <v>22</v>
      </c>
      <c r="C243" s="29" t="s">
        <v>164</v>
      </c>
      <c r="D243" s="64" t="s">
        <v>895</v>
      </c>
      <c r="E243" s="26">
        <v>25</v>
      </c>
      <c r="F243" s="28">
        <f t="shared" si="17"/>
        <v>25</v>
      </c>
      <c r="G243" s="23"/>
    </row>
    <row r="244" spans="2:7" ht="24" customHeight="1">
      <c r="B244" s="23"/>
      <c r="C244" s="29"/>
      <c r="D244" s="33"/>
      <c r="E244" s="26"/>
      <c r="F244" s="28"/>
      <c r="G244" s="23"/>
    </row>
    <row r="245" spans="2:7" ht="24" customHeight="1">
      <c r="B245" s="23"/>
      <c r="C245" s="29"/>
      <c r="D245" s="33"/>
      <c r="E245" s="26"/>
      <c r="F245" s="28"/>
      <c r="G245" s="23"/>
    </row>
    <row r="246" spans="2:7" ht="24" customHeight="1">
      <c r="B246" s="23"/>
      <c r="C246" s="29"/>
      <c r="D246" s="33"/>
      <c r="E246" s="26"/>
      <c r="F246" s="28"/>
      <c r="G246" s="23"/>
    </row>
    <row r="247" spans="2:7" ht="24" customHeight="1">
      <c r="B247" s="23"/>
      <c r="C247" s="29"/>
      <c r="D247" s="33"/>
      <c r="E247" s="26"/>
      <c r="F247" s="28"/>
      <c r="G247" s="23"/>
    </row>
    <row r="248" spans="2:7" ht="24" customHeight="1">
      <c r="B248" s="23"/>
      <c r="C248" s="29"/>
      <c r="D248" s="33"/>
      <c r="E248" s="26"/>
      <c r="F248" s="28"/>
      <c r="G248" s="23"/>
    </row>
    <row r="249" spans="2:7" ht="24" customHeight="1">
      <c r="B249" s="23"/>
      <c r="C249" s="19"/>
      <c r="D249" s="31"/>
      <c r="E249" s="69"/>
      <c r="F249" s="71"/>
      <c r="G249" s="68"/>
    </row>
    <row r="250" spans="2:7" ht="24" customHeight="1">
      <c r="B250" s="72"/>
      <c r="C250" s="72"/>
      <c r="D250" s="76"/>
      <c r="E250" s="77">
        <f t="shared" ref="E250:F250" si="18">SUM(E221:E249)</f>
        <v>2067.5</v>
      </c>
      <c r="F250" s="77">
        <f t="shared" si="18"/>
        <v>2067.5</v>
      </c>
      <c r="G250" s="77">
        <f>E250-F250</f>
        <v>0</v>
      </c>
    </row>
    <row r="251" spans="2:7" ht="24" customHeight="1"/>
    <row r="252" spans="2:7" ht="24" customHeight="1">
      <c r="B252" s="191" t="s">
        <v>911</v>
      </c>
      <c r="C252" s="192"/>
      <c r="D252" s="192"/>
      <c r="E252" s="192"/>
      <c r="F252" s="192"/>
      <c r="G252" s="193"/>
    </row>
    <row r="253" spans="2:7" ht="24" customHeight="1">
      <c r="B253" s="194" t="s">
        <v>1</v>
      </c>
      <c r="C253" s="196" t="s">
        <v>2</v>
      </c>
      <c r="D253" s="198" t="s">
        <v>4</v>
      </c>
      <c r="E253" s="216" t="s">
        <v>5</v>
      </c>
      <c r="F253" s="217" t="s">
        <v>6</v>
      </c>
      <c r="G253" s="196" t="s">
        <v>7</v>
      </c>
    </row>
    <row r="254" spans="2:7" ht="24" customHeight="1">
      <c r="B254" s="195"/>
      <c r="C254" s="197"/>
      <c r="D254" s="199"/>
      <c r="E254" s="201"/>
      <c r="F254" s="195"/>
      <c r="G254" s="197"/>
    </row>
    <row r="255" spans="2:7" ht="24" customHeight="1">
      <c r="B255" s="23"/>
      <c r="C255" s="141" t="s">
        <v>770</v>
      </c>
      <c r="D255" s="23"/>
      <c r="E255" s="26"/>
      <c r="F255" s="28"/>
      <c r="G255" s="23"/>
    </row>
    <row r="256" spans="2:7" ht="24" customHeight="1">
      <c r="B256" s="23">
        <v>1</v>
      </c>
      <c r="C256" s="19" t="s">
        <v>435</v>
      </c>
      <c r="D256" s="64" t="s">
        <v>915</v>
      </c>
      <c r="E256" s="26">
        <v>100</v>
      </c>
      <c r="F256" s="28">
        <v>100</v>
      </c>
      <c r="G256" s="23"/>
    </row>
    <row r="257" spans="2:7" ht="24" customHeight="1">
      <c r="B257" s="23">
        <v>2</v>
      </c>
      <c r="C257" s="19" t="s">
        <v>274</v>
      </c>
      <c r="D257" s="64" t="s">
        <v>916</v>
      </c>
      <c r="E257" s="26">
        <v>120</v>
      </c>
      <c r="F257" s="28">
        <v>120</v>
      </c>
      <c r="G257" s="23"/>
    </row>
    <row r="258" spans="2:7" ht="24" customHeight="1">
      <c r="B258" s="23">
        <v>3</v>
      </c>
      <c r="C258" s="19" t="s">
        <v>256</v>
      </c>
      <c r="D258" s="64" t="s">
        <v>917</v>
      </c>
      <c r="E258" s="26">
        <v>150</v>
      </c>
      <c r="F258" s="28">
        <v>150</v>
      </c>
      <c r="G258" s="23"/>
    </row>
    <row r="259" spans="2:7" ht="24" customHeight="1">
      <c r="B259" s="23">
        <v>4</v>
      </c>
      <c r="C259" s="63" t="s">
        <v>86</v>
      </c>
      <c r="D259" s="64" t="s">
        <v>918</v>
      </c>
      <c r="E259" s="26">
        <v>120</v>
      </c>
      <c r="F259" s="28">
        <v>120</v>
      </c>
      <c r="G259" s="23"/>
    </row>
    <row r="260" spans="2:7" ht="24" customHeight="1">
      <c r="B260" s="23">
        <v>5</v>
      </c>
      <c r="C260" s="19" t="s">
        <v>41</v>
      </c>
      <c r="D260" s="64" t="s">
        <v>919</v>
      </c>
      <c r="E260" s="26">
        <v>70</v>
      </c>
      <c r="F260" s="28">
        <v>70</v>
      </c>
      <c r="G260" s="23"/>
    </row>
    <row r="261" spans="2:7" ht="24" customHeight="1">
      <c r="B261" s="23">
        <v>6</v>
      </c>
      <c r="C261" s="19" t="s">
        <v>77</v>
      </c>
      <c r="D261" s="64" t="s">
        <v>920</v>
      </c>
      <c r="E261" s="26">
        <v>100</v>
      </c>
      <c r="F261" s="28">
        <v>100</v>
      </c>
      <c r="G261" s="23"/>
    </row>
    <row r="262" spans="2:7" ht="24" customHeight="1">
      <c r="B262" s="23">
        <v>7</v>
      </c>
      <c r="C262" s="19" t="s">
        <v>271</v>
      </c>
      <c r="D262" s="64" t="s">
        <v>922</v>
      </c>
      <c r="E262" s="26">
        <v>65</v>
      </c>
      <c r="F262" s="28">
        <v>65</v>
      </c>
      <c r="G262" s="23"/>
    </row>
    <row r="263" spans="2:7" ht="24" customHeight="1">
      <c r="B263" s="23">
        <v>8</v>
      </c>
      <c r="C263" s="19" t="s">
        <v>90</v>
      </c>
      <c r="D263" s="64" t="s">
        <v>925</v>
      </c>
      <c r="E263" s="26">
        <v>120</v>
      </c>
      <c r="F263" s="28">
        <f>E263</f>
        <v>120</v>
      </c>
      <c r="G263" s="23"/>
    </row>
    <row r="264" spans="2:7" ht="24" customHeight="1">
      <c r="B264" s="23">
        <v>9</v>
      </c>
      <c r="C264" s="19" t="s">
        <v>399</v>
      </c>
      <c r="D264" s="64" t="s">
        <v>931</v>
      </c>
      <c r="E264" s="26">
        <v>25</v>
      </c>
      <c r="F264" s="28">
        <v>25</v>
      </c>
      <c r="G264" s="23"/>
    </row>
    <row r="265" spans="2:7" ht="24" customHeight="1">
      <c r="B265" s="23">
        <v>10</v>
      </c>
      <c r="C265" s="19" t="s">
        <v>514</v>
      </c>
      <c r="D265" s="64" t="s">
        <v>933</v>
      </c>
      <c r="E265" s="26">
        <v>75</v>
      </c>
      <c r="F265" s="28">
        <f t="shared" ref="F265:F266" si="19">E265</f>
        <v>75</v>
      </c>
      <c r="G265" s="23"/>
    </row>
    <row r="266" spans="2:7" ht="24" customHeight="1">
      <c r="B266" s="23">
        <v>11</v>
      </c>
      <c r="C266" s="19" t="s">
        <v>50</v>
      </c>
      <c r="D266" s="64" t="s">
        <v>935</v>
      </c>
      <c r="E266" s="26">
        <v>55</v>
      </c>
      <c r="F266" s="28">
        <f t="shared" si="19"/>
        <v>55</v>
      </c>
      <c r="G266" s="23"/>
    </row>
    <row r="267" spans="2:7" ht="24" customHeight="1">
      <c r="B267" s="23">
        <v>12</v>
      </c>
      <c r="C267" s="19" t="s">
        <v>82</v>
      </c>
      <c r="D267" s="64" t="s">
        <v>938</v>
      </c>
      <c r="E267" s="26">
        <v>31.5</v>
      </c>
      <c r="F267" s="28">
        <v>31.5</v>
      </c>
      <c r="G267" s="23"/>
    </row>
    <row r="268" spans="2:7" ht="24" customHeight="1">
      <c r="B268" s="23">
        <v>13</v>
      </c>
      <c r="C268" s="19" t="s">
        <v>458</v>
      </c>
      <c r="D268" s="64" t="s">
        <v>940</v>
      </c>
      <c r="E268" s="26">
        <v>100</v>
      </c>
      <c r="F268" s="28">
        <v>100</v>
      </c>
      <c r="G268" s="23"/>
    </row>
    <row r="269" spans="2:7" ht="24" customHeight="1">
      <c r="B269" s="23">
        <v>14</v>
      </c>
      <c r="C269" s="19" t="s">
        <v>107</v>
      </c>
      <c r="D269" s="64" t="s">
        <v>942</v>
      </c>
      <c r="E269" s="26">
        <v>120</v>
      </c>
      <c r="F269" s="28">
        <v>120</v>
      </c>
      <c r="G269" s="23"/>
    </row>
    <row r="270" spans="2:7" ht="24" customHeight="1">
      <c r="B270" s="23">
        <v>15</v>
      </c>
      <c r="C270" s="19" t="s">
        <v>79</v>
      </c>
      <c r="D270" s="64" t="s">
        <v>944</v>
      </c>
      <c r="E270" s="26">
        <v>100</v>
      </c>
      <c r="F270" s="28">
        <v>100</v>
      </c>
      <c r="G270" s="23"/>
    </row>
    <row r="271" spans="2:7" ht="24" customHeight="1">
      <c r="B271" s="23">
        <v>16</v>
      </c>
      <c r="C271" s="19" t="s">
        <v>173</v>
      </c>
      <c r="D271" s="64" t="s">
        <v>947</v>
      </c>
      <c r="E271" s="26">
        <v>90</v>
      </c>
      <c r="F271" s="28">
        <v>90</v>
      </c>
      <c r="G271" s="23"/>
    </row>
    <row r="272" spans="2:7" ht="24" customHeight="1">
      <c r="B272" s="23">
        <v>17</v>
      </c>
      <c r="C272" s="19" t="s">
        <v>97</v>
      </c>
      <c r="D272" s="64" t="s">
        <v>950</v>
      </c>
      <c r="E272" s="26">
        <v>100</v>
      </c>
      <c r="F272" s="28">
        <v>100</v>
      </c>
      <c r="G272" s="23"/>
    </row>
    <row r="273" spans="2:7" ht="24" customHeight="1">
      <c r="B273" s="23">
        <v>18</v>
      </c>
      <c r="C273" s="19" t="s">
        <v>168</v>
      </c>
      <c r="D273" s="64" t="s">
        <v>951</v>
      </c>
      <c r="E273" s="26">
        <v>50</v>
      </c>
      <c r="F273" s="28">
        <v>50</v>
      </c>
      <c r="G273" s="23"/>
    </row>
    <row r="274" spans="2:7" ht="24" customHeight="1">
      <c r="B274" s="23">
        <v>19</v>
      </c>
      <c r="C274" s="19" t="s">
        <v>125</v>
      </c>
      <c r="D274" s="64" t="s">
        <v>952</v>
      </c>
      <c r="E274" s="26">
        <v>120</v>
      </c>
      <c r="F274" s="28">
        <v>120</v>
      </c>
      <c r="G274" s="23"/>
    </row>
    <row r="275" spans="2:7" ht="24" customHeight="1">
      <c r="B275" s="23">
        <v>20</v>
      </c>
      <c r="C275" s="19" t="s">
        <v>137</v>
      </c>
      <c r="D275" s="64" t="s">
        <v>953</v>
      </c>
      <c r="E275" s="26">
        <v>90</v>
      </c>
      <c r="F275" s="28">
        <v>90</v>
      </c>
      <c r="G275" s="23"/>
    </row>
    <row r="276" spans="2:7" ht="24" customHeight="1">
      <c r="B276" s="23">
        <v>21</v>
      </c>
      <c r="C276" s="19" t="s">
        <v>71</v>
      </c>
      <c r="D276" s="64" t="s">
        <v>955</v>
      </c>
      <c r="E276" s="26">
        <v>126</v>
      </c>
      <c r="F276" s="28">
        <v>126</v>
      </c>
      <c r="G276" s="23"/>
    </row>
    <row r="277" spans="2:7" ht="24" customHeight="1">
      <c r="B277" s="23">
        <v>22</v>
      </c>
      <c r="C277" s="19" t="s">
        <v>365</v>
      </c>
      <c r="D277" s="64" t="s">
        <v>957</v>
      </c>
      <c r="E277" s="26"/>
      <c r="F277" s="28"/>
      <c r="G277" s="23" t="s">
        <v>958</v>
      </c>
    </row>
    <row r="278" spans="2:7" ht="24" customHeight="1">
      <c r="B278" s="23"/>
      <c r="C278" s="29"/>
      <c r="D278" s="33"/>
      <c r="E278" s="26"/>
      <c r="F278" s="28"/>
      <c r="G278" s="23"/>
    </row>
    <row r="279" spans="2:7" ht="24" customHeight="1">
      <c r="B279" s="23"/>
      <c r="C279" s="29"/>
      <c r="D279" s="33"/>
      <c r="E279" s="26"/>
      <c r="F279" s="28"/>
      <c r="G279" s="23"/>
    </row>
    <row r="280" spans="2:7" ht="24" customHeight="1">
      <c r="B280" s="23"/>
      <c r="C280" s="29"/>
      <c r="D280" s="33"/>
      <c r="E280" s="26"/>
      <c r="F280" s="28"/>
      <c r="G280" s="23"/>
    </row>
    <row r="281" spans="2:7" ht="24" customHeight="1">
      <c r="B281" s="23"/>
      <c r="C281" s="29"/>
      <c r="D281" s="33"/>
      <c r="E281" s="26"/>
      <c r="F281" s="28"/>
      <c r="G281" s="23"/>
    </row>
    <row r="282" spans="2:7" ht="24" customHeight="1">
      <c r="B282" s="23"/>
      <c r="C282" s="19"/>
      <c r="D282" s="31"/>
      <c r="E282" s="32"/>
      <c r="F282" s="28"/>
      <c r="G282" s="31"/>
    </row>
    <row r="283" spans="2:7" ht="24" customHeight="1">
      <c r="B283" s="72"/>
      <c r="C283" s="72"/>
      <c r="D283" s="76"/>
      <c r="E283" s="77">
        <f t="shared" ref="E283:F283" si="20">SUM(E255:E282)</f>
        <v>1927.5</v>
      </c>
      <c r="F283" s="77">
        <f t="shared" si="20"/>
        <v>1927.5</v>
      </c>
      <c r="G283" s="77">
        <f>E283-F283</f>
        <v>0</v>
      </c>
    </row>
    <row r="284" spans="2:7" ht="24" customHeight="1"/>
    <row r="285" spans="2:7" ht="24" customHeight="1">
      <c r="B285" s="191" t="s">
        <v>974</v>
      </c>
      <c r="C285" s="192"/>
      <c r="D285" s="192"/>
      <c r="E285" s="192"/>
      <c r="F285" s="192"/>
      <c r="G285" s="193"/>
    </row>
    <row r="286" spans="2:7" ht="24" customHeight="1">
      <c r="B286" s="194" t="s">
        <v>1</v>
      </c>
      <c r="C286" s="196" t="s">
        <v>2</v>
      </c>
      <c r="D286" s="198" t="s">
        <v>4</v>
      </c>
      <c r="E286" s="216" t="s">
        <v>5</v>
      </c>
      <c r="F286" s="217" t="s">
        <v>6</v>
      </c>
      <c r="G286" s="196" t="s">
        <v>7</v>
      </c>
    </row>
    <row r="287" spans="2:7" ht="24" customHeight="1">
      <c r="B287" s="195"/>
      <c r="C287" s="197"/>
      <c r="D287" s="199"/>
      <c r="E287" s="201"/>
      <c r="F287" s="195"/>
      <c r="G287" s="197"/>
    </row>
    <row r="288" spans="2:7" ht="24" customHeight="1">
      <c r="B288" s="23"/>
      <c r="C288" s="141" t="s">
        <v>921</v>
      </c>
      <c r="D288" s="23"/>
      <c r="E288" s="26"/>
      <c r="F288" s="28"/>
      <c r="G288" s="23"/>
    </row>
    <row r="289" spans="2:7" ht="24" customHeight="1">
      <c r="B289" s="23">
        <v>1</v>
      </c>
      <c r="C289" s="63" t="s">
        <v>982</v>
      </c>
      <c r="D289" s="64" t="s">
        <v>983</v>
      </c>
      <c r="E289" s="26">
        <v>126</v>
      </c>
      <c r="F289" s="28">
        <f t="shared" ref="F289:F292" si="21">E289</f>
        <v>126</v>
      </c>
      <c r="G289" s="23"/>
    </row>
    <row r="290" spans="2:7" ht="24" customHeight="1">
      <c r="B290" s="23">
        <v>2</v>
      </c>
      <c r="C290" s="63" t="s">
        <v>985</v>
      </c>
      <c r="D290" s="64" t="s">
        <v>986</v>
      </c>
      <c r="E290" s="26">
        <v>20</v>
      </c>
      <c r="F290" s="28">
        <f t="shared" si="21"/>
        <v>20</v>
      </c>
      <c r="G290" s="23"/>
    </row>
    <row r="291" spans="2:7" ht="24" customHeight="1">
      <c r="B291" s="23">
        <v>3</v>
      </c>
      <c r="C291" s="63" t="s">
        <v>987</v>
      </c>
      <c r="D291" s="64" t="s">
        <v>988</v>
      </c>
      <c r="E291" s="26">
        <v>100</v>
      </c>
      <c r="F291" s="28">
        <f t="shared" si="21"/>
        <v>100</v>
      </c>
      <c r="G291" s="23"/>
    </row>
    <row r="292" spans="2:7" ht="24" customHeight="1">
      <c r="B292" s="23">
        <v>4</v>
      </c>
      <c r="C292" s="63" t="s">
        <v>989</v>
      </c>
      <c r="D292" s="64" t="s">
        <v>990</v>
      </c>
      <c r="E292" s="26">
        <v>100</v>
      </c>
      <c r="F292" s="28">
        <f t="shared" si="21"/>
        <v>100</v>
      </c>
      <c r="G292" s="23"/>
    </row>
    <row r="293" spans="2:7" ht="24" customHeight="1">
      <c r="B293" s="23">
        <v>5</v>
      </c>
      <c r="C293" s="63" t="s">
        <v>991</v>
      </c>
      <c r="D293" s="64" t="s">
        <v>992</v>
      </c>
      <c r="E293" s="26">
        <v>80</v>
      </c>
      <c r="F293" s="28">
        <v>80</v>
      </c>
      <c r="G293" s="23"/>
    </row>
    <row r="294" spans="2:7" ht="24" customHeight="1">
      <c r="B294" s="23">
        <v>6</v>
      </c>
      <c r="C294" s="63" t="s">
        <v>993</v>
      </c>
      <c r="D294" s="64" t="s">
        <v>994</v>
      </c>
      <c r="E294" s="26">
        <v>50</v>
      </c>
      <c r="F294" s="28">
        <f>E294</f>
        <v>50</v>
      </c>
      <c r="G294" s="23"/>
    </row>
    <row r="295" spans="2:7" ht="24" customHeight="1">
      <c r="B295" s="23">
        <v>7</v>
      </c>
      <c r="C295" s="63" t="s">
        <v>995</v>
      </c>
      <c r="D295" s="64" t="s">
        <v>996</v>
      </c>
      <c r="E295" s="26">
        <v>100</v>
      </c>
      <c r="F295" s="124">
        <v>100</v>
      </c>
      <c r="G295" s="23"/>
    </row>
    <row r="296" spans="2:7" ht="24" customHeight="1">
      <c r="B296" s="23">
        <v>8</v>
      </c>
      <c r="C296" s="63" t="s">
        <v>997</v>
      </c>
      <c r="D296" s="64" t="s">
        <v>998</v>
      </c>
      <c r="E296" s="26">
        <v>65</v>
      </c>
      <c r="F296" s="124">
        <f>E296</f>
        <v>65</v>
      </c>
      <c r="G296" s="23"/>
    </row>
    <row r="297" spans="2:7" ht="24" customHeight="1">
      <c r="B297" s="23">
        <v>9</v>
      </c>
      <c r="C297" s="63" t="s">
        <v>999</v>
      </c>
      <c r="D297" s="64" t="s">
        <v>1000</v>
      </c>
      <c r="E297" s="26">
        <v>80</v>
      </c>
      <c r="F297" s="124">
        <v>80</v>
      </c>
      <c r="G297" s="23"/>
    </row>
    <row r="298" spans="2:7" ht="24" customHeight="1">
      <c r="B298" s="23">
        <v>10</v>
      </c>
      <c r="C298" s="63" t="s">
        <v>1001</v>
      </c>
      <c r="D298" s="64" t="s">
        <v>1002</v>
      </c>
      <c r="E298" s="26">
        <v>50</v>
      </c>
      <c r="F298" s="124">
        <f>E298</f>
        <v>50</v>
      </c>
      <c r="G298" s="23"/>
    </row>
    <row r="299" spans="2:7" ht="24" customHeight="1">
      <c r="B299" s="23">
        <v>11</v>
      </c>
      <c r="C299" s="63" t="s">
        <v>1004</v>
      </c>
      <c r="D299" s="64" t="s">
        <v>1005</v>
      </c>
      <c r="E299" s="26">
        <v>60</v>
      </c>
      <c r="F299" s="124">
        <v>60</v>
      </c>
      <c r="G299" s="23"/>
    </row>
    <row r="300" spans="2:7" ht="24" customHeight="1">
      <c r="B300" s="23">
        <v>12</v>
      </c>
      <c r="C300" s="63" t="s">
        <v>1006</v>
      </c>
      <c r="D300" s="64" t="s">
        <v>1007</v>
      </c>
      <c r="E300" s="26">
        <v>100</v>
      </c>
      <c r="F300" s="124">
        <f>E300</f>
        <v>100</v>
      </c>
      <c r="G300" s="23"/>
    </row>
    <row r="301" spans="2:7" ht="24" customHeight="1">
      <c r="B301" s="23">
        <v>13</v>
      </c>
      <c r="C301" s="63" t="s">
        <v>1010</v>
      </c>
      <c r="D301" s="64" t="s">
        <v>1011</v>
      </c>
      <c r="E301" s="26">
        <v>60</v>
      </c>
      <c r="F301" s="124">
        <v>60</v>
      </c>
      <c r="G301" s="23"/>
    </row>
    <row r="302" spans="2:7" ht="24" customHeight="1">
      <c r="B302" s="23">
        <v>14</v>
      </c>
      <c r="C302" s="63" t="s">
        <v>835</v>
      </c>
      <c r="D302" s="64" t="s">
        <v>1012</v>
      </c>
      <c r="E302" s="26">
        <v>100</v>
      </c>
      <c r="F302" s="124">
        <v>100</v>
      </c>
      <c r="G302" s="23"/>
    </row>
    <row r="303" spans="2:7" ht="24" customHeight="1">
      <c r="B303" s="23">
        <v>15</v>
      </c>
      <c r="C303" s="63" t="s">
        <v>841</v>
      </c>
      <c r="D303" s="64" t="s">
        <v>1013</v>
      </c>
      <c r="E303" s="26">
        <v>160</v>
      </c>
      <c r="F303" s="124">
        <v>160</v>
      </c>
      <c r="G303" s="23"/>
    </row>
    <row r="304" spans="2:7" ht="24" customHeight="1">
      <c r="B304" s="23">
        <v>16</v>
      </c>
      <c r="C304" s="63" t="s">
        <v>1016</v>
      </c>
      <c r="D304" s="64" t="s">
        <v>1017</v>
      </c>
      <c r="E304" s="26">
        <v>75</v>
      </c>
      <c r="F304" s="124">
        <f t="shared" ref="F304:F306" si="22">E304</f>
        <v>75</v>
      </c>
      <c r="G304" s="23"/>
    </row>
    <row r="305" spans="2:7" ht="24" customHeight="1">
      <c r="B305" s="23">
        <v>17</v>
      </c>
      <c r="C305" s="63" t="s">
        <v>1020</v>
      </c>
      <c r="D305" s="64" t="s">
        <v>1021</v>
      </c>
      <c r="E305" s="26">
        <v>20</v>
      </c>
      <c r="F305" s="124">
        <f t="shared" si="22"/>
        <v>20</v>
      </c>
      <c r="G305" s="23"/>
    </row>
    <row r="306" spans="2:7" ht="24" customHeight="1">
      <c r="B306" s="23">
        <v>18</v>
      </c>
      <c r="C306" s="63" t="s">
        <v>1023</v>
      </c>
      <c r="D306" s="64" t="s">
        <v>1024</v>
      </c>
      <c r="E306" s="26">
        <v>80</v>
      </c>
      <c r="F306" s="124">
        <f t="shared" si="22"/>
        <v>80</v>
      </c>
      <c r="G306" s="23"/>
    </row>
    <row r="307" spans="2:7" ht="24" customHeight="1">
      <c r="B307" s="23">
        <v>19</v>
      </c>
      <c r="C307" s="63" t="s">
        <v>1025</v>
      </c>
      <c r="D307" s="64" t="s">
        <v>1026</v>
      </c>
      <c r="E307" s="26">
        <v>125</v>
      </c>
      <c r="F307" s="124">
        <v>25</v>
      </c>
      <c r="G307" s="23"/>
    </row>
    <row r="308" spans="2:7" ht="24" customHeight="1">
      <c r="B308" s="23">
        <v>20</v>
      </c>
      <c r="C308" s="63" t="s">
        <v>844</v>
      </c>
      <c r="D308" s="64" t="s">
        <v>1029</v>
      </c>
      <c r="E308" s="26">
        <v>50</v>
      </c>
      <c r="F308" s="124">
        <v>50</v>
      </c>
      <c r="G308" s="23"/>
    </row>
    <row r="309" spans="2:7" ht="24" customHeight="1">
      <c r="B309" s="23">
        <v>21</v>
      </c>
      <c r="C309" s="63" t="s">
        <v>1030</v>
      </c>
      <c r="D309" s="64" t="s">
        <v>1031</v>
      </c>
      <c r="E309" s="26">
        <v>80</v>
      </c>
      <c r="F309" s="124">
        <v>80</v>
      </c>
      <c r="G309" s="23"/>
    </row>
    <row r="310" spans="2:7" ht="24" customHeight="1">
      <c r="B310" s="23">
        <v>22</v>
      </c>
      <c r="C310" s="63" t="s">
        <v>878</v>
      </c>
      <c r="D310" s="64" t="s">
        <v>1033</v>
      </c>
      <c r="E310" s="26">
        <v>100</v>
      </c>
      <c r="F310" s="124">
        <v>100</v>
      </c>
      <c r="G310" s="23"/>
    </row>
    <row r="311" spans="2:7" ht="24" customHeight="1">
      <c r="B311" s="23">
        <v>23</v>
      </c>
      <c r="C311" s="63" t="s">
        <v>1034</v>
      </c>
      <c r="D311" s="64" t="s">
        <v>1035</v>
      </c>
      <c r="E311" s="26">
        <v>100</v>
      </c>
      <c r="F311" s="124">
        <v>100</v>
      </c>
      <c r="G311" s="23"/>
    </row>
    <row r="312" spans="2:7" ht="24" customHeight="1">
      <c r="B312" s="23">
        <v>24</v>
      </c>
      <c r="C312" s="63" t="s">
        <v>1036</v>
      </c>
      <c r="D312" s="64" t="s">
        <v>1037</v>
      </c>
      <c r="E312" s="26">
        <v>75</v>
      </c>
      <c r="F312" s="124">
        <f t="shared" ref="F312:F314" si="23">E312</f>
        <v>75</v>
      </c>
      <c r="G312" s="23"/>
    </row>
    <row r="313" spans="2:7" ht="24" customHeight="1">
      <c r="B313" s="23">
        <v>25</v>
      </c>
      <c r="C313" s="63" t="s">
        <v>866</v>
      </c>
      <c r="D313" s="64" t="s">
        <v>1041</v>
      </c>
      <c r="E313" s="26">
        <v>126</v>
      </c>
      <c r="F313" s="124">
        <f t="shared" si="23"/>
        <v>126</v>
      </c>
      <c r="G313" s="23"/>
    </row>
    <row r="314" spans="2:7" ht="24" customHeight="1">
      <c r="B314" s="23">
        <v>26</v>
      </c>
      <c r="C314" s="63" t="s">
        <v>892</v>
      </c>
      <c r="D314" s="64" t="s">
        <v>1044</v>
      </c>
      <c r="E314" s="26">
        <v>160</v>
      </c>
      <c r="F314" s="124">
        <f t="shared" si="23"/>
        <v>160</v>
      </c>
      <c r="G314" s="23"/>
    </row>
    <row r="315" spans="2:7" ht="24" customHeight="1">
      <c r="B315" s="23">
        <v>27</v>
      </c>
      <c r="C315" s="19" t="s">
        <v>1047</v>
      </c>
      <c r="D315" s="64" t="s">
        <v>1048</v>
      </c>
      <c r="E315" s="26">
        <v>40</v>
      </c>
      <c r="F315" s="124">
        <v>40</v>
      </c>
      <c r="G315" s="23"/>
    </row>
    <row r="316" spans="2:7" ht="24" customHeight="1">
      <c r="B316" s="23">
        <v>28</v>
      </c>
      <c r="C316" s="19" t="s">
        <v>1050</v>
      </c>
      <c r="D316" s="64" t="s">
        <v>1051</v>
      </c>
      <c r="E316" s="26">
        <v>50</v>
      </c>
      <c r="F316" s="124">
        <v>50</v>
      </c>
      <c r="G316" s="23"/>
    </row>
    <row r="317" spans="2:7" ht="24" customHeight="1">
      <c r="B317" s="23"/>
      <c r="C317" s="19"/>
      <c r="D317" s="31"/>
      <c r="E317" s="32"/>
      <c r="F317" s="28"/>
      <c r="G317" s="31"/>
    </row>
    <row r="318" spans="2:7" ht="24" customHeight="1">
      <c r="B318" s="72"/>
      <c r="C318" s="72"/>
      <c r="D318" s="76"/>
      <c r="E318" s="77">
        <f t="shared" ref="E318:F318" si="24">SUM(E288:E317)</f>
        <v>2332</v>
      </c>
      <c r="F318" s="77">
        <f t="shared" si="24"/>
        <v>2232</v>
      </c>
      <c r="G318" s="77">
        <f>E318-F318</f>
        <v>100</v>
      </c>
    </row>
    <row r="319" spans="2:7" ht="24" customHeight="1"/>
    <row r="320" spans="2:7" ht="24" customHeight="1">
      <c r="B320" s="191" t="s">
        <v>1058</v>
      </c>
      <c r="C320" s="192"/>
      <c r="D320" s="192"/>
      <c r="E320" s="192"/>
      <c r="F320" s="192"/>
      <c r="G320" s="193"/>
    </row>
    <row r="321" spans="2:7" ht="24" customHeight="1">
      <c r="B321" s="194" t="s">
        <v>1</v>
      </c>
      <c r="C321" s="196" t="s">
        <v>2</v>
      </c>
      <c r="D321" s="198" t="s">
        <v>4</v>
      </c>
      <c r="E321" s="216" t="s">
        <v>5</v>
      </c>
      <c r="F321" s="217" t="s">
        <v>6</v>
      </c>
      <c r="G321" s="196" t="s">
        <v>7</v>
      </c>
    </row>
    <row r="322" spans="2:7" ht="24" customHeight="1">
      <c r="B322" s="195"/>
      <c r="C322" s="197"/>
      <c r="D322" s="199"/>
      <c r="E322" s="201"/>
      <c r="F322" s="195"/>
      <c r="G322" s="197"/>
    </row>
    <row r="323" spans="2:7" ht="24" customHeight="1">
      <c r="B323" s="23"/>
      <c r="C323" s="141" t="s">
        <v>1067</v>
      </c>
      <c r="D323" s="23"/>
      <c r="E323" s="26"/>
      <c r="F323" s="28"/>
      <c r="G323" s="23"/>
    </row>
    <row r="324" spans="2:7" ht="24" customHeight="1">
      <c r="B324" s="23">
        <v>1</v>
      </c>
      <c r="C324" s="63" t="s">
        <v>1069</v>
      </c>
      <c r="D324" s="64" t="s">
        <v>1070</v>
      </c>
      <c r="E324" s="26">
        <v>100</v>
      </c>
      <c r="F324" s="28">
        <f>E324</f>
        <v>100</v>
      </c>
      <c r="G324" s="23"/>
    </row>
    <row r="325" spans="2:7" ht="24" customHeight="1">
      <c r="B325" s="23">
        <f>B324+1</f>
        <v>2</v>
      </c>
      <c r="C325" s="63" t="s">
        <v>1074</v>
      </c>
      <c r="D325" s="64" t="s">
        <v>1076</v>
      </c>
      <c r="E325" s="26">
        <v>25</v>
      </c>
      <c r="F325" s="28">
        <v>25</v>
      </c>
      <c r="G325" s="23"/>
    </row>
    <row r="326" spans="2:7" ht="24" customHeight="1">
      <c r="B326" s="23">
        <v>3</v>
      </c>
      <c r="C326" s="63" t="s">
        <v>1077</v>
      </c>
      <c r="D326" s="64" t="s">
        <v>1079</v>
      </c>
      <c r="E326" s="26">
        <v>90</v>
      </c>
      <c r="F326" s="28">
        <v>90</v>
      </c>
      <c r="G326" s="23"/>
    </row>
    <row r="327" spans="2:7" ht="24" customHeight="1">
      <c r="B327" s="23">
        <v>4</v>
      </c>
      <c r="C327" s="63" t="s">
        <v>1080</v>
      </c>
      <c r="D327" s="64" t="s">
        <v>1081</v>
      </c>
      <c r="E327" s="26">
        <v>30</v>
      </c>
      <c r="F327" s="28">
        <v>30</v>
      </c>
      <c r="G327" s="23"/>
    </row>
    <row r="328" spans="2:7" ht="24" customHeight="1">
      <c r="B328" s="23">
        <v>5</v>
      </c>
      <c r="C328" s="63" t="s">
        <v>1083</v>
      </c>
      <c r="D328" s="64" t="s">
        <v>1084</v>
      </c>
      <c r="E328" s="26">
        <v>20</v>
      </c>
      <c r="F328" s="28">
        <v>20</v>
      </c>
      <c r="G328" s="23"/>
    </row>
    <row r="329" spans="2:7" ht="24" customHeight="1">
      <c r="B329" s="23">
        <v>6</v>
      </c>
      <c r="C329" s="63" t="s">
        <v>619</v>
      </c>
      <c r="D329" s="64" t="s">
        <v>1085</v>
      </c>
      <c r="E329" s="26">
        <v>75</v>
      </c>
      <c r="F329" s="124">
        <v>75</v>
      </c>
      <c r="G329" s="23"/>
    </row>
    <row r="330" spans="2:7" ht="24" customHeight="1">
      <c r="B330" s="23">
        <v>7</v>
      </c>
      <c r="C330" s="63" t="s">
        <v>205</v>
      </c>
      <c r="D330" s="64" t="s">
        <v>1087</v>
      </c>
      <c r="E330" s="26">
        <v>150</v>
      </c>
      <c r="F330" s="124">
        <v>150</v>
      </c>
      <c r="G330" s="23"/>
    </row>
    <row r="331" spans="2:7" ht="24" customHeight="1">
      <c r="B331" s="23">
        <v>8</v>
      </c>
      <c r="C331" s="63" t="s">
        <v>1090</v>
      </c>
      <c r="D331" s="64" t="s">
        <v>1091</v>
      </c>
      <c r="E331" s="26">
        <v>100</v>
      </c>
      <c r="F331" s="124"/>
      <c r="G331" s="23"/>
    </row>
    <row r="332" spans="2:7" ht="24" customHeight="1">
      <c r="B332" s="23">
        <v>9</v>
      </c>
      <c r="C332" s="63" t="s">
        <v>1094</v>
      </c>
      <c r="D332" s="64" t="s">
        <v>1095</v>
      </c>
      <c r="E332" s="26">
        <v>30</v>
      </c>
      <c r="F332" s="124">
        <v>30</v>
      </c>
      <c r="G332" s="23"/>
    </row>
    <row r="333" spans="2:7" ht="24" customHeight="1">
      <c r="B333" s="23">
        <v>10</v>
      </c>
      <c r="C333" s="63" t="s">
        <v>379</v>
      </c>
      <c r="D333" s="64" t="s">
        <v>1098</v>
      </c>
      <c r="E333" s="26">
        <v>75</v>
      </c>
      <c r="F333" s="124">
        <v>75</v>
      </c>
      <c r="G333" s="23"/>
    </row>
    <row r="334" spans="2:7" ht="24" customHeight="1">
      <c r="B334" s="23">
        <v>11</v>
      </c>
      <c r="C334" s="63" t="s">
        <v>1099</v>
      </c>
      <c r="D334" s="64" t="s">
        <v>1100</v>
      </c>
      <c r="E334" s="26">
        <v>100</v>
      </c>
      <c r="F334" s="124">
        <v>100</v>
      </c>
      <c r="G334" s="23"/>
    </row>
    <row r="335" spans="2:7" ht="24" customHeight="1">
      <c r="B335" s="23">
        <v>12</v>
      </c>
      <c r="C335" s="63" t="s">
        <v>77</v>
      </c>
      <c r="D335" s="64" t="s">
        <v>1102</v>
      </c>
      <c r="E335" s="26">
        <v>100</v>
      </c>
      <c r="F335" s="124">
        <v>100</v>
      </c>
      <c r="G335" s="23"/>
    </row>
    <row r="336" spans="2:7" ht="24" customHeight="1">
      <c r="B336" s="23">
        <v>13</v>
      </c>
      <c r="C336" s="63" t="s">
        <v>210</v>
      </c>
      <c r="D336" s="64" t="s">
        <v>1103</v>
      </c>
      <c r="E336" s="26">
        <v>65</v>
      </c>
      <c r="F336" s="124">
        <v>65</v>
      </c>
      <c r="G336" s="23"/>
    </row>
    <row r="337" spans="2:7" ht="24" customHeight="1">
      <c r="B337" s="23">
        <v>14</v>
      </c>
      <c r="C337" s="63" t="s">
        <v>90</v>
      </c>
      <c r="D337" s="64" t="s">
        <v>1105</v>
      </c>
      <c r="E337" s="26">
        <v>120</v>
      </c>
      <c r="F337" s="124">
        <v>120</v>
      </c>
      <c r="G337" s="23"/>
    </row>
    <row r="338" spans="2:7" ht="24" customHeight="1">
      <c r="B338" s="23">
        <v>15</v>
      </c>
      <c r="C338" s="63" t="s">
        <v>1106</v>
      </c>
      <c r="D338" s="64" t="s">
        <v>1108</v>
      </c>
      <c r="E338" s="26">
        <v>75</v>
      </c>
      <c r="F338" s="124">
        <v>75</v>
      </c>
      <c r="G338" s="23"/>
    </row>
    <row r="339" spans="2:7" ht="24" customHeight="1">
      <c r="B339" s="23">
        <v>16</v>
      </c>
      <c r="C339" s="63" t="s">
        <v>329</v>
      </c>
      <c r="D339" s="64" t="s">
        <v>1109</v>
      </c>
      <c r="E339" s="26">
        <v>50</v>
      </c>
      <c r="F339" s="124">
        <v>50</v>
      </c>
      <c r="G339" s="23"/>
    </row>
    <row r="340" spans="2:7" ht="24" customHeight="1">
      <c r="B340" s="23">
        <v>17</v>
      </c>
      <c r="C340" s="63" t="s">
        <v>86</v>
      </c>
      <c r="D340" s="64" t="s">
        <v>1111</v>
      </c>
      <c r="E340" s="26">
        <v>60</v>
      </c>
      <c r="F340" s="124">
        <v>60</v>
      </c>
      <c r="G340" s="23"/>
    </row>
    <row r="341" spans="2:7" ht="24" customHeight="1">
      <c r="B341" s="23">
        <v>18</v>
      </c>
      <c r="C341" s="63" t="s">
        <v>82</v>
      </c>
      <c r="D341" s="64" t="s">
        <v>1113</v>
      </c>
      <c r="E341" s="26">
        <v>94.5</v>
      </c>
      <c r="F341" s="124">
        <v>94.5</v>
      </c>
      <c r="G341" s="23"/>
    </row>
    <row r="342" spans="2:7" ht="24" customHeight="1">
      <c r="B342" s="23">
        <v>19</v>
      </c>
      <c r="C342" s="63" t="s">
        <v>140</v>
      </c>
      <c r="D342" s="64" t="s">
        <v>1116</v>
      </c>
      <c r="E342" s="26">
        <v>75</v>
      </c>
      <c r="F342" s="124">
        <v>75</v>
      </c>
      <c r="G342" s="23"/>
    </row>
    <row r="343" spans="2:7" ht="24" customHeight="1">
      <c r="B343" s="23">
        <v>20</v>
      </c>
      <c r="C343" s="63" t="s">
        <v>107</v>
      </c>
      <c r="D343" s="64" t="s">
        <v>1119</v>
      </c>
      <c r="E343" s="26">
        <v>120</v>
      </c>
      <c r="F343" s="124">
        <v>120</v>
      </c>
      <c r="G343" s="23"/>
    </row>
    <row r="344" spans="2:7" ht="24" customHeight="1">
      <c r="B344" s="23">
        <v>21</v>
      </c>
      <c r="C344" s="63" t="s">
        <v>79</v>
      </c>
      <c r="D344" s="64" t="s">
        <v>1121</v>
      </c>
      <c r="E344" s="26">
        <v>100</v>
      </c>
      <c r="F344" s="124">
        <v>100</v>
      </c>
      <c r="G344" s="23"/>
    </row>
    <row r="345" spans="2:7" ht="24" customHeight="1">
      <c r="B345" s="23">
        <v>22</v>
      </c>
      <c r="C345" s="63" t="s">
        <v>97</v>
      </c>
      <c r="D345" s="64" t="s">
        <v>1123</v>
      </c>
      <c r="E345" s="26">
        <v>100</v>
      </c>
      <c r="F345" s="124">
        <v>100</v>
      </c>
      <c r="G345" s="23"/>
    </row>
    <row r="346" spans="2:7" ht="24" customHeight="1">
      <c r="B346" s="23">
        <v>23</v>
      </c>
      <c r="C346" s="63" t="s">
        <v>125</v>
      </c>
      <c r="D346" s="64" t="s">
        <v>1126</v>
      </c>
      <c r="E346" s="26">
        <v>120</v>
      </c>
      <c r="F346" s="124">
        <v>120</v>
      </c>
      <c r="G346" s="23"/>
    </row>
    <row r="347" spans="2:7" ht="24" customHeight="1">
      <c r="B347" s="23">
        <v>24</v>
      </c>
      <c r="C347" s="63" t="s">
        <v>71</v>
      </c>
      <c r="D347" s="64" t="s">
        <v>1128</v>
      </c>
      <c r="E347" s="26">
        <v>63</v>
      </c>
      <c r="F347" s="124">
        <v>63</v>
      </c>
      <c r="G347" s="23"/>
    </row>
    <row r="348" spans="2:7" ht="24" customHeight="1">
      <c r="B348" s="23">
        <v>25</v>
      </c>
      <c r="C348" s="63" t="s">
        <v>1130</v>
      </c>
      <c r="D348" s="64" t="s">
        <v>1131</v>
      </c>
      <c r="E348" s="26">
        <v>100</v>
      </c>
      <c r="F348" s="28">
        <v>100</v>
      </c>
      <c r="G348" s="23"/>
    </row>
    <row r="349" spans="2:7" ht="24" customHeight="1">
      <c r="B349" s="23"/>
      <c r="C349" s="29"/>
      <c r="D349" s="33"/>
      <c r="E349" s="26"/>
      <c r="F349" s="28"/>
      <c r="G349" s="23"/>
    </row>
    <row r="350" spans="2:7" ht="24" customHeight="1">
      <c r="B350" s="23"/>
      <c r="C350" s="29"/>
      <c r="D350" s="33"/>
      <c r="E350" s="26"/>
      <c r="F350" s="28"/>
      <c r="G350" s="23"/>
    </row>
    <row r="351" spans="2:7" ht="24" customHeight="1">
      <c r="B351" s="23"/>
      <c r="C351" s="29"/>
      <c r="D351" s="33"/>
      <c r="E351" s="26"/>
      <c r="F351" s="28"/>
      <c r="G351" s="23"/>
    </row>
    <row r="352" spans="2:7" ht="24" customHeight="1">
      <c r="B352" s="23"/>
      <c r="C352" s="29"/>
      <c r="D352" s="33"/>
      <c r="E352" s="26"/>
      <c r="F352" s="28"/>
      <c r="G352" s="23"/>
    </row>
    <row r="353" spans="2:7" ht="24" customHeight="1">
      <c r="B353" s="23"/>
      <c r="C353" s="29"/>
      <c r="D353" s="33"/>
      <c r="E353" s="26"/>
      <c r="F353" s="28"/>
      <c r="G353" s="23"/>
    </row>
    <row r="354" spans="2:7" ht="24" customHeight="1">
      <c r="B354" s="23"/>
      <c r="C354" s="29"/>
      <c r="D354" s="33"/>
      <c r="E354" s="26"/>
      <c r="F354" s="28"/>
      <c r="G354" s="23"/>
    </row>
    <row r="355" spans="2:7" ht="24" customHeight="1">
      <c r="B355" s="23"/>
      <c r="C355" s="19"/>
      <c r="D355" s="31"/>
      <c r="E355" s="32"/>
      <c r="F355" s="28"/>
      <c r="G355" s="31"/>
    </row>
    <row r="356" spans="2:7" ht="24" customHeight="1">
      <c r="B356" s="72"/>
      <c r="C356" s="72"/>
      <c r="D356" s="76"/>
      <c r="E356" s="77">
        <f t="shared" ref="E356:F356" si="25">SUM(E323:E355)</f>
        <v>2037.5</v>
      </c>
      <c r="F356" s="77">
        <f t="shared" si="25"/>
        <v>1937.5</v>
      </c>
      <c r="G356" s="77">
        <f>E356-F356</f>
        <v>100</v>
      </c>
    </row>
    <row r="357" spans="2:7" ht="24" customHeight="1"/>
    <row r="358" spans="2:7" ht="24" customHeight="1">
      <c r="B358" s="191" t="s">
        <v>1133</v>
      </c>
      <c r="C358" s="192"/>
      <c r="D358" s="192"/>
      <c r="E358" s="192"/>
      <c r="F358" s="192"/>
      <c r="G358" s="193"/>
    </row>
    <row r="359" spans="2:7" ht="24" customHeight="1">
      <c r="B359" s="194" t="s">
        <v>1</v>
      </c>
      <c r="C359" s="196" t="s">
        <v>2</v>
      </c>
      <c r="D359" s="198" t="s">
        <v>4</v>
      </c>
      <c r="E359" s="216" t="s">
        <v>5</v>
      </c>
      <c r="F359" s="217" t="s">
        <v>6</v>
      </c>
      <c r="G359" s="196" t="s">
        <v>7</v>
      </c>
    </row>
    <row r="360" spans="2:7" ht="24" customHeight="1">
      <c r="B360" s="195"/>
      <c r="C360" s="197"/>
      <c r="D360" s="199"/>
      <c r="E360" s="201"/>
      <c r="F360" s="195"/>
      <c r="G360" s="197"/>
    </row>
    <row r="361" spans="2:7" ht="24" customHeight="1">
      <c r="B361" s="23"/>
      <c r="C361" s="141" t="s">
        <v>1137</v>
      </c>
      <c r="D361" s="23"/>
      <c r="E361" s="26"/>
      <c r="F361" s="28"/>
      <c r="G361" s="23"/>
    </row>
    <row r="362" spans="2:7" ht="24" customHeight="1">
      <c r="B362" s="23">
        <v>1</v>
      </c>
      <c r="C362" s="63" t="s">
        <v>1141</v>
      </c>
      <c r="D362" s="64" t="s">
        <v>1142</v>
      </c>
      <c r="E362" s="26">
        <v>25</v>
      </c>
      <c r="F362" s="28">
        <f>E362</f>
        <v>25</v>
      </c>
      <c r="G362" s="23"/>
    </row>
    <row r="363" spans="2:7" ht="24" customHeight="1">
      <c r="B363" s="23">
        <f>B362+1</f>
        <v>2</v>
      </c>
      <c r="C363" s="63" t="s">
        <v>46</v>
      </c>
      <c r="D363" s="64" t="s">
        <v>1146</v>
      </c>
      <c r="E363" s="26">
        <v>25</v>
      </c>
      <c r="F363" s="28">
        <v>25</v>
      </c>
      <c r="G363" s="23"/>
    </row>
    <row r="364" spans="2:7" ht="24" customHeight="1">
      <c r="B364" s="23">
        <v>3</v>
      </c>
      <c r="C364" s="63" t="s">
        <v>344</v>
      </c>
      <c r="D364" s="64" t="s">
        <v>1147</v>
      </c>
      <c r="E364" s="26">
        <v>100</v>
      </c>
      <c r="F364" s="28">
        <v>100</v>
      </c>
      <c r="G364" s="23"/>
    </row>
    <row r="365" spans="2:7" ht="24" customHeight="1">
      <c r="B365" s="23">
        <v>4</v>
      </c>
      <c r="C365" s="63" t="s">
        <v>112</v>
      </c>
      <c r="D365" s="64" t="s">
        <v>1150</v>
      </c>
      <c r="E365" s="26">
        <v>50</v>
      </c>
      <c r="F365" s="28">
        <v>50</v>
      </c>
      <c r="G365" s="23"/>
    </row>
    <row r="366" spans="2:7" ht="24" customHeight="1">
      <c r="B366" s="23">
        <v>5</v>
      </c>
      <c r="C366" s="63" t="s">
        <v>82</v>
      </c>
      <c r="D366" s="64" t="s">
        <v>1151</v>
      </c>
      <c r="E366" s="26">
        <v>31.5</v>
      </c>
      <c r="F366" s="28">
        <v>31.5</v>
      </c>
      <c r="G366" s="23"/>
    </row>
    <row r="367" spans="2:7" ht="24" customHeight="1">
      <c r="B367" s="23">
        <v>6</v>
      </c>
      <c r="C367" s="63" t="s">
        <v>309</v>
      </c>
      <c r="D367" s="64" t="s">
        <v>1154</v>
      </c>
      <c r="E367" s="26">
        <v>181</v>
      </c>
      <c r="F367" s="124">
        <v>181</v>
      </c>
      <c r="G367" s="23"/>
    </row>
    <row r="368" spans="2:7" ht="24" customHeight="1">
      <c r="B368" s="23">
        <v>7</v>
      </c>
      <c r="C368" s="63" t="s">
        <v>205</v>
      </c>
      <c r="D368" s="64" t="s">
        <v>1155</v>
      </c>
      <c r="E368" s="26">
        <v>300</v>
      </c>
      <c r="F368" s="124">
        <v>300</v>
      </c>
      <c r="G368" s="23"/>
    </row>
    <row r="369" spans="2:7" ht="24" customHeight="1">
      <c r="B369" s="23">
        <v>8</v>
      </c>
      <c r="C369" s="63" t="s">
        <v>110</v>
      </c>
      <c r="D369" s="64" t="s">
        <v>1158</v>
      </c>
      <c r="E369" s="26">
        <v>160</v>
      </c>
      <c r="F369" s="124">
        <v>160</v>
      </c>
      <c r="G369" s="23"/>
    </row>
    <row r="370" spans="2:7" ht="24" customHeight="1">
      <c r="B370" s="23">
        <v>9</v>
      </c>
      <c r="C370" s="63" t="s">
        <v>487</v>
      </c>
      <c r="D370" s="64" t="s">
        <v>1161</v>
      </c>
      <c r="E370" s="26">
        <v>50</v>
      </c>
      <c r="F370" s="124">
        <v>50</v>
      </c>
      <c r="G370" s="23"/>
    </row>
    <row r="371" spans="2:7" ht="24" customHeight="1">
      <c r="B371" s="23">
        <v>10</v>
      </c>
      <c r="C371" s="19" t="s">
        <v>208</v>
      </c>
      <c r="D371" s="64" t="s">
        <v>1165</v>
      </c>
      <c r="E371" s="26">
        <v>200</v>
      </c>
      <c r="F371" s="124">
        <v>200</v>
      </c>
      <c r="G371" s="23"/>
    </row>
    <row r="372" spans="2:7" ht="24" customHeight="1">
      <c r="B372" s="23">
        <v>11</v>
      </c>
      <c r="C372" s="19" t="s">
        <v>210</v>
      </c>
      <c r="D372" s="64" t="s">
        <v>1167</v>
      </c>
      <c r="E372" s="26">
        <v>65</v>
      </c>
      <c r="F372" s="124">
        <v>65</v>
      </c>
      <c r="G372" s="23"/>
    </row>
    <row r="373" spans="2:7" ht="24" customHeight="1">
      <c r="B373" s="23">
        <v>12</v>
      </c>
      <c r="C373" s="19" t="s">
        <v>70</v>
      </c>
      <c r="D373" s="64" t="s">
        <v>1171</v>
      </c>
      <c r="E373" s="26">
        <v>120</v>
      </c>
      <c r="F373" s="124">
        <v>120</v>
      </c>
      <c r="G373" s="23"/>
    </row>
    <row r="374" spans="2:7" ht="24" customHeight="1">
      <c r="B374" s="23">
        <v>13</v>
      </c>
      <c r="C374" s="19" t="s">
        <v>8</v>
      </c>
      <c r="D374" s="64" t="s">
        <v>1176</v>
      </c>
      <c r="E374" s="26">
        <v>75</v>
      </c>
      <c r="F374" s="124">
        <v>75</v>
      </c>
      <c r="G374" s="23"/>
    </row>
    <row r="375" spans="2:7" ht="24" customHeight="1">
      <c r="B375" s="23">
        <v>14</v>
      </c>
      <c r="C375" s="19" t="s">
        <v>86</v>
      </c>
      <c r="D375" s="64" t="s">
        <v>1178</v>
      </c>
      <c r="E375" s="26">
        <v>60</v>
      </c>
      <c r="F375" s="124">
        <v>60</v>
      </c>
      <c r="G375" s="23"/>
    </row>
    <row r="376" spans="2:7" ht="24" customHeight="1">
      <c r="B376" s="23">
        <v>15</v>
      </c>
      <c r="C376" s="19" t="s">
        <v>215</v>
      </c>
      <c r="D376" s="64" t="s">
        <v>1183</v>
      </c>
      <c r="E376" s="26">
        <v>100</v>
      </c>
      <c r="F376" s="124">
        <v>100</v>
      </c>
      <c r="G376" s="23"/>
    </row>
    <row r="377" spans="2:7" ht="24" customHeight="1">
      <c r="B377" s="23">
        <v>16</v>
      </c>
      <c r="C377" s="19" t="s">
        <v>201</v>
      </c>
      <c r="D377" s="64" t="s">
        <v>1188</v>
      </c>
      <c r="E377" s="26">
        <v>80</v>
      </c>
      <c r="F377" s="124">
        <v>80</v>
      </c>
      <c r="G377" s="23"/>
    </row>
    <row r="378" spans="2:7" ht="24" customHeight="1">
      <c r="B378" s="23">
        <v>17</v>
      </c>
      <c r="C378" s="19" t="s">
        <v>357</v>
      </c>
      <c r="D378" s="64" t="s">
        <v>1190</v>
      </c>
      <c r="E378" s="26">
        <v>150</v>
      </c>
      <c r="F378" s="124">
        <v>150</v>
      </c>
      <c r="G378" s="23"/>
    </row>
    <row r="379" spans="2:7" ht="24" customHeight="1">
      <c r="B379" s="23">
        <v>18</v>
      </c>
      <c r="C379" s="19" t="s">
        <v>82</v>
      </c>
      <c r="D379" s="64" t="s">
        <v>1192</v>
      </c>
      <c r="E379" s="26">
        <v>126</v>
      </c>
      <c r="F379" s="124">
        <v>126</v>
      </c>
      <c r="G379" s="23"/>
    </row>
    <row r="380" spans="2:7" ht="24" customHeight="1">
      <c r="B380" s="23">
        <v>19</v>
      </c>
      <c r="C380" s="19" t="s">
        <v>71</v>
      </c>
      <c r="D380" s="64" t="s">
        <v>1194</v>
      </c>
      <c r="E380" s="26">
        <v>63</v>
      </c>
      <c r="F380" s="124">
        <v>63</v>
      </c>
      <c r="G380" s="23"/>
    </row>
    <row r="381" spans="2:7" ht="24" customHeight="1">
      <c r="B381" s="23">
        <v>20</v>
      </c>
      <c r="C381" s="19" t="s">
        <v>220</v>
      </c>
      <c r="D381" s="64" t="s">
        <v>1196</v>
      </c>
      <c r="E381" s="26">
        <v>100</v>
      </c>
      <c r="F381" s="124">
        <v>100</v>
      </c>
      <c r="G381" s="23"/>
    </row>
    <row r="382" spans="2:7" ht="24" customHeight="1">
      <c r="B382" s="23">
        <v>21</v>
      </c>
      <c r="C382" s="63"/>
      <c r="D382" s="64"/>
      <c r="E382" s="26"/>
      <c r="F382" s="124"/>
      <c r="G382" s="23"/>
    </row>
    <row r="383" spans="2:7" ht="24" customHeight="1">
      <c r="B383" s="23">
        <v>22</v>
      </c>
      <c r="C383" s="63"/>
      <c r="D383" s="64"/>
      <c r="E383" s="26"/>
      <c r="F383" s="124"/>
      <c r="G383" s="23"/>
    </row>
    <row r="384" spans="2:7" ht="24" customHeight="1">
      <c r="B384" s="23">
        <v>23</v>
      </c>
      <c r="C384" s="63"/>
      <c r="D384" s="64"/>
      <c r="E384" s="26"/>
      <c r="F384" s="124"/>
      <c r="G384" s="23"/>
    </row>
    <row r="385" spans="2:7" ht="24" customHeight="1">
      <c r="B385" s="23">
        <v>24</v>
      </c>
      <c r="C385" s="63"/>
      <c r="D385" s="64"/>
      <c r="E385" s="26"/>
      <c r="F385" s="124"/>
      <c r="G385" s="23"/>
    </row>
    <row r="386" spans="2:7" ht="24" customHeight="1">
      <c r="B386" s="23">
        <v>25</v>
      </c>
      <c r="C386" s="63"/>
      <c r="D386" s="64"/>
      <c r="E386" s="26"/>
      <c r="F386" s="28"/>
      <c r="G386" s="23"/>
    </row>
    <row r="387" spans="2:7" ht="24" customHeight="1">
      <c r="B387" s="23"/>
      <c r="C387" s="29"/>
      <c r="D387" s="33"/>
      <c r="E387" s="26"/>
      <c r="F387" s="28"/>
      <c r="G387" s="23"/>
    </row>
    <row r="388" spans="2:7" ht="24" customHeight="1">
      <c r="B388" s="23"/>
      <c r="C388" s="29"/>
      <c r="D388" s="33"/>
      <c r="E388" s="26"/>
      <c r="F388" s="28"/>
      <c r="G388" s="23"/>
    </row>
    <row r="389" spans="2:7" ht="24" customHeight="1">
      <c r="B389" s="23"/>
      <c r="C389" s="29"/>
      <c r="D389" s="33"/>
      <c r="E389" s="26"/>
      <c r="F389" s="28"/>
      <c r="G389" s="23"/>
    </row>
    <row r="390" spans="2:7" ht="24" customHeight="1">
      <c r="B390" s="23"/>
      <c r="C390" s="29"/>
      <c r="D390" s="33"/>
      <c r="E390" s="26"/>
      <c r="F390" s="28"/>
      <c r="G390" s="23"/>
    </row>
    <row r="391" spans="2:7" ht="24" customHeight="1">
      <c r="B391" s="23"/>
      <c r="C391" s="29"/>
      <c r="D391" s="33"/>
      <c r="E391" s="26"/>
      <c r="F391" s="28"/>
      <c r="G391" s="23"/>
    </row>
    <row r="392" spans="2:7" ht="24" customHeight="1">
      <c r="B392" s="23"/>
      <c r="C392" s="29"/>
      <c r="D392" s="33"/>
      <c r="E392" s="26"/>
      <c r="F392" s="28"/>
      <c r="G392" s="23"/>
    </row>
    <row r="393" spans="2:7" ht="24" customHeight="1">
      <c r="B393" s="23"/>
      <c r="C393" s="19"/>
      <c r="D393" s="31"/>
      <c r="E393" s="32"/>
      <c r="F393" s="28"/>
      <c r="G393" s="31"/>
    </row>
    <row r="394" spans="2:7" ht="24" customHeight="1">
      <c r="B394" s="72"/>
      <c r="C394" s="72"/>
      <c r="D394" s="76"/>
      <c r="E394" s="77">
        <f t="shared" ref="E394:F394" si="26">SUM(E361:E393)</f>
        <v>2061.5</v>
      </c>
      <c r="F394" s="77">
        <f t="shared" si="26"/>
        <v>2061.5</v>
      </c>
      <c r="G394" s="77">
        <f>E394-F394</f>
        <v>0</v>
      </c>
    </row>
    <row r="395" spans="2:7" ht="15.75" customHeight="1"/>
    <row r="396" spans="2:7" ht="15.75" customHeight="1"/>
    <row r="397" spans="2:7" ht="15.75" customHeight="1"/>
    <row r="398" spans="2:7" ht="15.75" customHeight="1"/>
    <row r="399" spans="2:7" ht="15.75" customHeight="1"/>
    <row r="400" spans="2:7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B184:G184"/>
    <mergeCell ref="B185:B186"/>
    <mergeCell ref="C185:C186"/>
    <mergeCell ref="D185:D186"/>
    <mergeCell ref="E185:E186"/>
    <mergeCell ref="F185:F186"/>
    <mergeCell ref="G185:G186"/>
    <mergeCell ref="B162:G162"/>
    <mergeCell ref="B163:B164"/>
    <mergeCell ref="C163:C164"/>
    <mergeCell ref="D163:D164"/>
    <mergeCell ref="E163:E164"/>
    <mergeCell ref="F163:F164"/>
    <mergeCell ref="G163:G164"/>
    <mergeCell ref="B123:G123"/>
    <mergeCell ref="B124:B125"/>
    <mergeCell ref="C124:C125"/>
    <mergeCell ref="D124:D125"/>
    <mergeCell ref="E124:E125"/>
    <mergeCell ref="F124:F125"/>
    <mergeCell ref="G124:G125"/>
    <mergeCell ref="B105:G105"/>
    <mergeCell ref="B106:B107"/>
    <mergeCell ref="C106:C107"/>
    <mergeCell ref="D106:D107"/>
    <mergeCell ref="E106:E107"/>
    <mergeCell ref="F106:F107"/>
    <mergeCell ref="G106:G107"/>
    <mergeCell ref="B66:G66"/>
    <mergeCell ref="B67:B68"/>
    <mergeCell ref="C67:C68"/>
    <mergeCell ref="D67:D68"/>
    <mergeCell ref="E67:E68"/>
    <mergeCell ref="F67:F68"/>
    <mergeCell ref="G67:G68"/>
    <mergeCell ref="B45:G45"/>
    <mergeCell ref="B46:B47"/>
    <mergeCell ref="C46:C47"/>
    <mergeCell ref="D46:D47"/>
    <mergeCell ref="E46:E47"/>
    <mergeCell ref="F46:F47"/>
    <mergeCell ref="G46:G47"/>
    <mergeCell ref="B2:G2"/>
    <mergeCell ref="B3:B4"/>
    <mergeCell ref="C3:C4"/>
    <mergeCell ref="D3:D4"/>
    <mergeCell ref="E3:E4"/>
    <mergeCell ref="F3:F4"/>
    <mergeCell ref="G3:G4"/>
    <mergeCell ref="B320:G320"/>
    <mergeCell ref="B321:B322"/>
    <mergeCell ref="C321:C322"/>
    <mergeCell ref="D321:D322"/>
    <mergeCell ref="E321:E322"/>
    <mergeCell ref="F321:F322"/>
    <mergeCell ref="G321:G322"/>
    <mergeCell ref="B358:G358"/>
    <mergeCell ref="B359:B360"/>
    <mergeCell ref="C359:C360"/>
    <mergeCell ref="D359:D360"/>
    <mergeCell ref="E359:E360"/>
    <mergeCell ref="F359:F360"/>
    <mergeCell ref="G359:G360"/>
    <mergeCell ref="B285:G285"/>
    <mergeCell ref="B286:B287"/>
    <mergeCell ref="C286:C287"/>
    <mergeCell ref="D286:D287"/>
    <mergeCell ref="E286:E287"/>
    <mergeCell ref="F286:F287"/>
    <mergeCell ref="G286:G287"/>
    <mergeCell ref="B252:G252"/>
    <mergeCell ref="B253:B254"/>
    <mergeCell ref="C253:C254"/>
    <mergeCell ref="D253:D254"/>
    <mergeCell ref="E253:E254"/>
    <mergeCell ref="F253:F254"/>
    <mergeCell ref="G253:G254"/>
    <mergeCell ref="B218:G218"/>
    <mergeCell ref="B219:B220"/>
    <mergeCell ref="C219:C220"/>
    <mergeCell ref="D219:D220"/>
    <mergeCell ref="E219:E220"/>
    <mergeCell ref="F219:F220"/>
    <mergeCell ref="G219:G220"/>
  </mergeCells>
  <printOptions horizontalCentered="1"/>
  <pageMargins left="0" right="0" top="0.25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00FF"/>
    <outlinePr summaryBelow="0" summaryRight="0"/>
    <pageSetUpPr fitToPage="1"/>
  </sheetPr>
  <dimension ref="A1:AC940"/>
  <sheetViews>
    <sheetView tabSelected="1" zoomScale="82" zoomScaleNormal="82" workbookViewId="0">
      <pane xSplit="13" ySplit="2" topLeftCell="N8" activePane="bottomRight" state="frozen"/>
      <selection pane="topRight" activeCell="M1" sqref="M1"/>
      <selection pane="bottomLeft" activeCell="A3" sqref="A3"/>
      <selection pane="bottomRight" activeCell="B241" sqref="B241"/>
    </sheetView>
  </sheetViews>
  <sheetFormatPr defaultColWidth="12.625" defaultRowHeight="15" customHeight="1"/>
  <cols>
    <col min="1" max="1" width="7.25" customWidth="1"/>
    <col min="2" max="2" width="12.625" customWidth="1"/>
    <col min="3" max="3" width="8.375" customWidth="1"/>
    <col min="4" max="4" width="23.625" customWidth="1"/>
    <col min="5" max="5" width="40.625" customWidth="1"/>
    <col min="6" max="6" width="14.75" customWidth="1"/>
    <col min="7" max="7" width="29.25" customWidth="1"/>
    <col min="8" max="8" width="17.5" customWidth="1"/>
    <col min="9" max="9" width="12.75" customWidth="1"/>
    <col min="10" max="10" width="14.625" customWidth="1"/>
    <col min="11" max="11" width="13.75" customWidth="1"/>
    <col min="12" max="12" width="18.25" customWidth="1"/>
    <col min="13" max="13" width="16.25" customWidth="1"/>
    <col min="14" max="14" width="13.25" customWidth="1"/>
    <col min="15" max="15" width="24.125" customWidth="1"/>
    <col min="16" max="20" width="9.75" customWidth="1"/>
  </cols>
  <sheetData>
    <row r="1" spans="1:29" ht="44.25" customHeight="1">
      <c r="A1" s="4"/>
      <c r="B1" s="4"/>
      <c r="C1" s="4"/>
      <c r="D1" s="4"/>
      <c r="E1" s="4"/>
      <c r="F1" s="4"/>
      <c r="G1" s="4"/>
      <c r="H1" s="4"/>
      <c r="I1" s="5"/>
      <c r="J1" s="6"/>
      <c r="K1" s="5"/>
      <c r="L1" s="4"/>
      <c r="M1" s="4"/>
      <c r="N1" s="4"/>
      <c r="O1" s="4"/>
      <c r="P1" s="14"/>
      <c r="Q1" s="14"/>
      <c r="R1" s="14"/>
      <c r="S1" s="14"/>
      <c r="T1" s="16"/>
      <c r="U1" s="17"/>
      <c r="V1" s="17"/>
      <c r="W1" s="17"/>
      <c r="X1" s="17"/>
      <c r="Y1" s="17"/>
      <c r="Z1" s="17"/>
      <c r="AA1" s="17"/>
      <c r="AB1" s="17"/>
      <c r="AC1" s="17"/>
    </row>
    <row r="2" spans="1:29" ht="44.25" customHeight="1">
      <c r="A2" s="18" t="s">
        <v>18</v>
      </c>
      <c r="B2" s="218" t="s">
        <v>22</v>
      </c>
      <c r="C2" s="219"/>
      <c r="D2" s="20" t="s">
        <v>1382</v>
      </c>
      <c r="E2" s="18" t="s">
        <v>24</v>
      </c>
      <c r="F2" s="18" t="s">
        <v>25</v>
      </c>
      <c r="G2" s="18" t="s">
        <v>28</v>
      </c>
      <c r="H2" s="18" t="s">
        <v>30</v>
      </c>
      <c r="I2" s="25" t="s">
        <v>31</v>
      </c>
      <c r="J2" s="25" t="s">
        <v>37</v>
      </c>
      <c r="K2" s="27" t="s">
        <v>40</v>
      </c>
      <c r="L2" s="18" t="s">
        <v>43</v>
      </c>
      <c r="M2" s="18" t="s">
        <v>44</v>
      </c>
      <c r="N2" s="18" t="s">
        <v>45</v>
      </c>
      <c r="O2" s="18" t="s">
        <v>48</v>
      </c>
      <c r="P2" s="14"/>
      <c r="Q2" s="14"/>
      <c r="R2" s="14"/>
      <c r="S2" s="14"/>
      <c r="T2" s="16"/>
      <c r="U2" s="17"/>
      <c r="V2" s="17"/>
      <c r="W2" s="17"/>
      <c r="X2" s="17"/>
      <c r="Y2" s="17"/>
      <c r="Z2" s="17"/>
      <c r="AA2" s="17"/>
      <c r="AB2" s="17"/>
      <c r="AC2" s="17"/>
    </row>
    <row r="3" spans="1:29" ht="30.75" hidden="1" customHeight="1">
      <c r="A3" s="38">
        <v>1</v>
      </c>
      <c r="B3" s="38">
        <v>2020</v>
      </c>
      <c r="C3" s="40">
        <v>11</v>
      </c>
      <c r="D3" s="40"/>
      <c r="E3" s="41" t="s">
        <v>111</v>
      </c>
      <c r="F3" s="38"/>
      <c r="G3" s="38"/>
      <c r="H3" s="38"/>
      <c r="L3" s="38" t="s">
        <v>116</v>
      </c>
      <c r="M3" s="38" t="s">
        <v>117</v>
      </c>
      <c r="N3" s="38" t="s">
        <v>118</v>
      </c>
      <c r="O3" s="45" t="s">
        <v>117</v>
      </c>
      <c r="P3" s="52"/>
      <c r="Q3" s="52"/>
      <c r="R3" s="52"/>
      <c r="S3" s="52"/>
      <c r="T3" s="52"/>
      <c r="U3" s="17"/>
      <c r="V3" s="17"/>
      <c r="W3" s="17"/>
      <c r="X3" s="17"/>
      <c r="Y3" s="17"/>
      <c r="Z3" s="17"/>
      <c r="AA3" s="17"/>
      <c r="AB3" s="17"/>
      <c r="AC3" s="17"/>
    </row>
    <row r="4" spans="1:29" ht="30.75" hidden="1" customHeight="1">
      <c r="A4" s="38">
        <v>1</v>
      </c>
      <c r="B4" s="38">
        <v>2021</v>
      </c>
      <c r="C4" s="40">
        <v>43</v>
      </c>
      <c r="D4" s="40"/>
      <c r="E4" s="41" t="s">
        <v>135</v>
      </c>
      <c r="F4" s="38"/>
      <c r="G4" s="38"/>
      <c r="H4" s="38"/>
      <c r="L4" s="38" t="s">
        <v>138</v>
      </c>
      <c r="M4" s="38" t="s">
        <v>117</v>
      </c>
      <c r="N4" s="38" t="s">
        <v>118</v>
      </c>
      <c r="O4" s="45" t="s">
        <v>117</v>
      </c>
      <c r="P4" s="52"/>
      <c r="Q4" s="52"/>
      <c r="R4" s="52"/>
      <c r="S4" s="52"/>
      <c r="T4" s="52"/>
      <c r="U4" s="17"/>
      <c r="V4" s="17"/>
      <c r="W4" s="17"/>
      <c r="X4" s="17"/>
      <c r="Y4" s="17"/>
      <c r="Z4" s="17"/>
      <c r="AA4" s="17"/>
      <c r="AB4" s="17"/>
      <c r="AC4" s="17"/>
    </row>
    <row r="5" spans="1:29" ht="30.75" hidden="1" customHeight="1">
      <c r="A5" s="38">
        <v>2</v>
      </c>
      <c r="B5" s="38">
        <v>2021</v>
      </c>
      <c r="C5" s="40">
        <v>5</v>
      </c>
      <c r="D5" s="40"/>
      <c r="E5" s="41" t="s">
        <v>149</v>
      </c>
      <c r="F5" s="38"/>
      <c r="G5" s="38"/>
      <c r="H5" s="38"/>
      <c r="L5" s="38" t="s">
        <v>116</v>
      </c>
      <c r="M5" s="38" t="s">
        <v>150</v>
      </c>
      <c r="N5" s="38" t="s">
        <v>152</v>
      </c>
      <c r="O5" s="45" t="s">
        <v>154</v>
      </c>
      <c r="P5" s="52"/>
      <c r="Q5" s="52"/>
      <c r="R5" s="52"/>
      <c r="S5" s="52"/>
      <c r="T5" s="52"/>
      <c r="U5" s="17"/>
      <c r="V5" s="17"/>
      <c r="W5" s="17"/>
      <c r="X5" s="17"/>
      <c r="Y5" s="17"/>
      <c r="Z5" s="17"/>
      <c r="AA5" s="17"/>
      <c r="AB5" s="17"/>
      <c r="AC5" s="17"/>
    </row>
    <row r="6" spans="1:29" ht="30.75" hidden="1" customHeight="1">
      <c r="A6" s="38">
        <v>3</v>
      </c>
      <c r="B6" s="38">
        <v>2021</v>
      </c>
      <c r="C6" s="40">
        <v>6</v>
      </c>
      <c r="D6" s="40"/>
      <c r="E6" s="41" t="s">
        <v>159</v>
      </c>
      <c r="F6" s="38"/>
      <c r="G6" s="38"/>
      <c r="H6" s="38"/>
      <c r="L6" s="38" t="s">
        <v>160</v>
      </c>
      <c r="M6" s="38" t="s">
        <v>117</v>
      </c>
      <c r="N6" s="38" t="s">
        <v>118</v>
      </c>
      <c r="O6" s="45" t="s">
        <v>117</v>
      </c>
      <c r="P6" s="52"/>
      <c r="Q6" s="52"/>
      <c r="R6" s="52"/>
      <c r="S6" s="52"/>
      <c r="T6" s="52"/>
      <c r="U6" s="17"/>
      <c r="V6" s="17"/>
      <c r="W6" s="17"/>
      <c r="X6" s="17"/>
      <c r="Y6" s="17"/>
      <c r="Z6" s="17"/>
      <c r="AA6" s="17"/>
      <c r="AB6" s="17"/>
      <c r="AC6" s="17"/>
    </row>
    <row r="7" spans="1:29" ht="30.75" hidden="1" customHeight="1">
      <c r="A7" s="38">
        <v>1</v>
      </c>
      <c r="B7" s="38">
        <v>2022</v>
      </c>
      <c r="C7" s="40">
        <v>6</v>
      </c>
      <c r="D7" s="40"/>
      <c r="E7" s="41" t="s">
        <v>178</v>
      </c>
      <c r="F7" s="38"/>
      <c r="G7" s="38"/>
      <c r="H7" s="38"/>
      <c r="L7" s="38" t="s">
        <v>116</v>
      </c>
      <c r="M7" s="38" t="s">
        <v>182</v>
      </c>
      <c r="N7" s="38" t="s">
        <v>152</v>
      </c>
      <c r="O7" s="45" t="s">
        <v>184</v>
      </c>
      <c r="P7" s="52"/>
      <c r="Q7" s="52"/>
      <c r="R7" s="52"/>
      <c r="S7" s="52"/>
      <c r="T7" s="52"/>
      <c r="U7" s="17"/>
      <c r="V7" s="17"/>
      <c r="W7" s="17"/>
      <c r="X7" s="17"/>
      <c r="Y7" s="17"/>
      <c r="Z7" s="17"/>
      <c r="AA7" s="17"/>
      <c r="AB7" s="17"/>
      <c r="AC7" s="17"/>
    </row>
    <row r="8" spans="1:29" ht="30.75" customHeight="1">
      <c r="A8" s="38">
        <v>1</v>
      </c>
      <c r="B8" s="38">
        <v>2023</v>
      </c>
      <c r="C8" s="40">
        <v>148</v>
      </c>
      <c r="D8" s="40"/>
      <c r="E8" s="70" t="s">
        <v>195</v>
      </c>
      <c r="F8" s="70">
        <v>94680503</v>
      </c>
      <c r="G8" s="38" t="s">
        <v>197</v>
      </c>
      <c r="H8" s="38"/>
      <c r="I8" s="38" t="s">
        <v>198</v>
      </c>
      <c r="J8" s="75"/>
      <c r="K8" s="75"/>
      <c r="L8" s="38" t="s">
        <v>200</v>
      </c>
      <c r="M8" s="38" t="s">
        <v>150</v>
      </c>
      <c r="N8" s="38" t="s">
        <v>202</v>
      </c>
      <c r="O8" s="45" t="s">
        <v>204</v>
      </c>
      <c r="P8" s="14"/>
      <c r="Q8" s="52"/>
      <c r="R8" s="52"/>
      <c r="S8" s="52"/>
      <c r="T8" s="52"/>
      <c r="U8" s="17"/>
      <c r="V8" s="17"/>
      <c r="W8" s="17"/>
      <c r="X8" s="17"/>
      <c r="Y8" s="17"/>
      <c r="Z8" s="17"/>
      <c r="AA8" s="17"/>
      <c r="AB8" s="17"/>
      <c r="AC8" s="17"/>
    </row>
    <row r="9" spans="1:29" ht="30.75" customHeight="1">
      <c r="A9" s="38">
        <v>2</v>
      </c>
      <c r="B9" s="38">
        <v>2023</v>
      </c>
      <c r="C9" s="40">
        <v>153</v>
      </c>
      <c r="D9" s="40" t="str">
        <f>"Bonyan/sup/"&amp;B9&amp;"/"&amp;C9</f>
        <v>Bonyan/sup/2023/153</v>
      </c>
      <c r="E9" s="70" t="s">
        <v>223</v>
      </c>
      <c r="F9" s="38">
        <v>98883307</v>
      </c>
      <c r="G9" s="38"/>
      <c r="H9" s="38">
        <v>99207220</v>
      </c>
      <c r="I9" s="38" t="s">
        <v>198</v>
      </c>
      <c r="J9" s="80"/>
      <c r="K9" s="75"/>
      <c r="L9" s="38" t="s">
        <v>200</v>
      </c>
      <c r="M9" s="38" t="s">
        <v>117</v>
      </c>
      <c r="N9" s="38" t="s">
        <v>227</v>
      </c>
      <c r="O9" s="45"/>
      <c r="P9" s="52"/>
      <c r="Q9" s="52"/>
      <c r="R9" s="52"/>
      <c r="S9" s="52"/>
      <c r="T9" s="52"/>
      <c r="U9" s="17"/>
      <c r="V9" s="17"/>
      <c r="W9" s="17"/>
      <c r="X9" s="17"/>
      <c r="Y9" s="17"/>
      <c r="Z9" s="17"/>
      <c r="AA9" s="17"/>
      <c r="AB9" s="17"/>
      <c r="AC9" s="17"/>
    </row>
    <row r="10" spans="1:29" ht="30.75" hidden="1" customHeight="1">
      <c r="A10" s="38">
        <v>4</v>
      </c>
      <c r="B10" s="38">
        <v>2022</v>
      </c>
      <c r="C10" s="40">
        <v>71</v>
      </c>
      <c r="D10" s="40"/>
      <c r="E10" s="41" t="s">
        <v>247</v>
      </c>
      <c r="F10" s="38"/>
      <c r="G10" s="38"/>
      <c r="H10" s="38"/>
      <c r="J10" s="82"/>
      <c r="K10" s="82"/>
      <c r="L10" s="38" t="s">
        <v>252</v>
      </c>
      <c r="M10" s="38" t="s">
        <v>182</v>
      </c>
      <c r="N10" s="38" t="s">
        <v>152</v>
      </c>
      <c r="O10" s="45" t="s">
        <v>253</v>
      </c>
      <c r="P10" s="52"/>
      <c r="Q10" s="52"/>
      <c r="R10" s="52"/>
      <c r="S10" s="52"/>
      <c r="T10" s="52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 ht="30.75" customHeight="1">
      <c r="A11" s="38">
        <v>3</v>
      </c>
      <c r="B11" s="38">
        <v>2024</v>
      </c>
      <c r="C11" s="40">
        <v>24</v>
      </c>
      <c r="D11" s="40" t="str">
        <f>"Bonyan/sup/"&amp;B11&amp;"/"&amp;C11</f>
        <v>Bonyan/sup/2024/24</v>
      </c>
      <c r="E11" s="70" t="s">
        <v>264</v>
      </c>
      <c r="F11" s="70">
        <v>98484838</v>
      </c>
      <c r="G11" s="38" t="s">
        <v>266</v>
      </c>
      <c r="H11" s="70">
        <v>96109655</v>
      </c>
      <c r="I11" s="38" t="s">
        <v>198</v>
      </c>
      <c r="J11" s="80"/>
      <c r="K11" s="75"/>
      <c r="L11" s="38" t="s">
        <v>269</v>
      </c>
      <c r="M11" s="38" t="s">
        <v>182</v>
      </c>
      <c r="N11" s="38" t="s">
        <v>227</v>
      </c>
      <c r="O11" s="45" t="s">
        <v>273</v>
      </c>
      <c r="P11" s="52"/>
      <c r="Q11" s="52"/>
      <c r="R11" s="52"/>
      <c r="S11" s="52"/>
      <c r="T11" s="52"/>
      <c r="U11" s="17"/>
      <c r="V11" s="17"/>
      <c r="W11" s="17"/>
      <c r="X11" s="17"/>
      <c r="Y11" s="17"/>
      <c r="Z11" s="17"/>
      <c r="AA11" s="17"/>
      <c r="AB11" s="17"/>
      <c r="AC11" s="17"/>
    </row>
    <row r="12" spans="1:29" ht="30.75" hidden="1" customHeight="1">
      <c r="A12" s="38" t="e">
        <f>#REF!+1</f>
        <v>#REF!</v>
      </c>
      <c r="B12" s="38">
        <v>2023</v>
      </c>
      <c r="C12" s="40">
        <v>90</v>
      </c>
      <c r="D12" s="40"/>
      <c r="E12" s="41" t="s">
        <v>288</v>
      </c>
      <c r="F12" s="38"/>
      <c r="G12" s="38"/>
      <c r="H12" s="38"/>
      <c r="J12" s="82"/>
      <c r="K12" s="82"/>
      <c r="L12" s="38" t="s">
        <v>138</v>
      </c>
      <c r="M12" s="38" t="s">
        <v>150</v>
      </c>
      <c r="N12" s="38" t="s">
        <v>118</v>
      </c>
      <c r="O12" s="45" t="s">
        <v>289</v>
      </c>
      <c r="P12" s="52"/>
      <c r="Q12" s="52"/>
      <c r="R12" s="52"/>
      <c r="S12" s="52"/>
      <c r="T12" s="52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 ht="30.75" hidden="1" customHeight="1">
      <c r="A13" s="38" t="e">
        <f>A12+1</f>
        <v>#REF!</v>
      </c>
      <c r="B13" s="38">
        <v>2023</v>
      </c>
      <c r="C13" s="40">
        <v>96</v>
      </c>
      <c r="D13" s="40"/>
      <c r="E13" s="41" t="s">
        <v>295</v>
      </c>
      <c r="F13" s="38"/>
      <c r="G13" s="38"/>
      <c r="H13" s="38"/>
      <c r="J13" s="82"/>
      <c r="K13" s="82"/>
      <c r="L13" s="38" t="s">
        <v>296</v>
      </c>
      <c r="M13" s="38" t="s">
        <v>150</v>
      </c>
      <c r="N13" s="38" t="s">
        <v>152</v>
      </c>
      <c r="O13" s="45" t="s">
        <v>154</v>
      </c>
      <c r="P13" s="52"/>
      <c r="Q13" s="52"/>
      <c r="R13" s="52"/>
      <c r="S13" s="52"/>
      <c r="T13" s="52"/>
      <c r="U13" s="17"/>
      <c r="V13" s="17"/>
      <c r="W13" s="17"/>
      <c r="X13" s="17"/>
      <c r="Y13" s="17"/>
      <c r="Z13" s="17"/>
      <c r="AA13" s="17"/>
      <c r="AB13" s="17"/>
      <c r="AC13" s="17"/>
    </row>
    <row r="14" spans="1:29" ht="30.75" customHeight="1">
      <c r="A14" s="38">
        <v>7</v>
      </c>
      <c r="B14" s="38">
        <v>2024</v>
      </c>
      <c r="C14" s="40">
        <v>97</v>
      </c>
      <c r="D14" s="40"/>
      <c r="E14" s="70" t="s">
        <v>300</v>
      </c>
      <c r="F14" s="70">
        <v>91112248</v>
      </c>
      <c r="G14" s="38"/>
      <c r="H14" s="70">
        <v>96667116</v>
      </c>
      <c r="I14" s="38" t="s">
        <v>198</v>
      </c>
      <c r="J14" s="80"/>
      <c r="K14" s="75"/>
      <c r="L14" s="38" t="s">
        <v>269</v>
      </c>
      <c r="M14" s="38" t="s">
        <v>182</v>
      </c>
      <c r="N14" s="38" t="s">
        <v>202</v>
      </c>
      <c r="O14" s="45" t="s">
        <v>304</v>
      </c>
      <c r="P14" s="52"/>
      <c r="Q14" s="52"/>
      <c r="R14" s="52"/>
      <c r="S14" s="52"/>
      <c r="T14" s="52"/>
      <c r="U14" s="17"/>
      <c r="V14" s="17"/>
      <c r="W14" s="17"/>
      <c r="X14" s="17"/>
      <c r="Y14" s="17"/>
      <c r="Z14" s="17"/>
      <c r="AA14" s="17"/>
      <c r="AB14" s="17"/>
      <c r="AC14" s="17"/>
    </row>
    <row r="15" spans="1:29" ht="30.75" hidden="1" customHeight="1">
      <c r="A15" s="38">
        <f>A14+1</f>
        <v>8</v>
      </c>
      <c r="B15" s="38">
        <v>2023</v>
      </c>
      <c r="C15" s="40">
        <v>127</v>
      </c>
      <c r="D15" s="40"/>
      <c r="E15" s="41" t="s">
        <v>318</v>
      </c>
      <c r="F15" s="38"/>
      <c r="G15" s="38"/>
      <c r="H15" s="38"/>
      <c r="J15" s="82"/>
      <c r="K15" s="82"/>
      <c r="L15" s="38" t="s">
        <v>138</v>
      </c>
      <c r="M15" s="38" t="s">
        <v>117</v>
      </c>
      <c r="N15" s="38" t="s">
        <v>152</v>
      </c>
      <c r="O15" s="45" t="s">
        <v>322</v>
      </c>
      <c r="P15" s="52"/>
      <c r="Q15" s="52"/>
      <c r="R15" s="52"/>
      <c r="S15" s="52"/>
      <c r="T15" s="52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 ht="30.75" customHeight="1">
      <c r="A16" s="38">
        <v>8</v>
      </c>
      <c r="B16" s="38">
        <v>2024</v>
      </c>
      <c r="C16" s="40">
        <v>98</v>
      </c>
      <c r="D16" s="40"/>
      <c r="E16" s="70" t="s">
        <v>331</v>
      </c>
      <c r="F16" s="70">
        <v>99017071</v>
      </c>
      <c r="G16" s="38"/>
      <c r="H16" s="70" t="s">
        <v>332</v>
      </c>
      <c r="I16" s="38" t="s">
        <v>198</v>
      </c>
      <c r="J16" s="80"/>
      <c r="K16" s="75"/>
      <c r="L16" s="38" t="s">
        <v>269</v>
      </c>
      <c r="M16" s="38" t="s">
        <v>117</v>
      </c>
      <c r="N16" s="38" t="s">
        <v>202</v>
      </c>
      <c r="O16" s="45"/>
      <c r="P16" s="52"/>
      <c r="Q16" s="52"/>
      <c r="R16" s="52"/>
      <c r="S16" s="52"/>
      <c r="T16" s="52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 ht="30.75" hidden="1" customHeight="1">
      <c r="A17" s="38" t="e">
        <f>#REF!+1</f>
        <v>#REF!</v>
      </c>
      <c r="B17" s="38">
        <v>2024</v>
      </c>
      <c r="C17" s="40">
        <v>39</v>
      </c>
      <c r="D17" s="40"/>
      <c r="E17" s="41" t="s">
        <v>343</v>
      </c>
      <c r="F17" s="38"/>
      <c r="G17" s="38"/>
      <c r="H17" s="38"/>
      <c r="J17" s="82"/>
      <c r="K17" s="82"/>
      <c r="L17" s="38" t="s">
        <v>116</v>
      </c>
      <c r="M17" s="38" t="s">
        <v>117</v>
      </c>
      <c r="N17" s="38" t="s">
        <v>118</v>
      </c>
      <c r="O17" s="45" t="s">
        <v>322</v>
      </c>
      <c r="P17" s="52"/>
      <c r="Q17" s="52"/>
      <c r="R17" s="52"/>
      <c r="S17" s="52"/>
      <c r="T17" s="52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 ht="30.75" customHeight="1">
      <c r="A18" s="38">
        <v>10</v>
      </c>
      <c r="B18" s="38">
        <v>2024</v>
      </c>
      <c r="C18" s="40">
        <v>132</v>
      </c>
      <c r="D18" s="40" t="str">
        <f t="shared" ref="D18:D19" si="0">"Bonyan/sup/"&amp;B18&amp;"/"&amp;C18</f>
        <v>Bonyan/sup/2024/132</v>
      </c>
      <c r="E18" s="70" t="s">
        <v>356</v>
      </c>
      <c r="F18" s="70">
        <v>92691116</v>
      </c>
      <c r="G18" s="38" t="s">
        <v>358</v>
      </c>
      <c r="H18" s="70">
        <v>99476123</v>
      </c>
      <c r="I18" s="38" t="s">
        <v>198</v>
      </c>
      <c r="J18" s="80"/>
      <c r="K18" s="75"/>
      <c r="L18" s="38" t="s">
        <v>200</v>
      </c>
      <c r="M18" s="38" t="s">
        <v>150</v>
      </c>
      <c r="N18" s="38" t="s">
        <v>227</v>
      </c>
      <c r="O18" s="45" t="s">
        <v>361</v>
      </c>
      <c r="P18" s="52"/>
      <c r="Q18" s="52"/>
      <c r="R18" s="52"/>
      <c r="S18" s="52"/>
      <c r="T18" s="52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 ht="30.75" customHeight="1">
      <c r="A19" s="38">
        <v>11</v>
      </c>
      <c r="B19" s="38">
        <v>2024</v>
      </c>
      <c r="C19" s="40">
        <v>138</v>
      </c>
      <c r="D19" s="40" t="str">
        <f t="shared" si="0"/>
        <v>Bonyan/sup/2024/138</v>
      </c>
      <c r="E19" s="70" t="s">
        <v>374</v>
      </c>
      <c r="F19" s="38"/>
      <c r="G19" s="38" t="s">
        <v>376</v>
      </c>
      <c r="H19" s="38">
        <v>79391126</v>
      </c>
      <c r="I19" s="38" t="s">
        <v>198</v>
      </c>
      <c r="J19" s="80"/>
      <c r="K19" s="95"/>
      <c r="L19" s="38" t="s">
        <v>200</v>
      </c>
      <c r="M19" s="38" t="s">
        <v>150</v>
      </c>
      <c r="N19" s="38" t="s">
        <v>227</v>
      </c>
      <c r="O19" s="45" t="s">
        <v>361</v>
      </c>
      <c r="P19" s="52"/>
      <c r="Q19" s="52"/>
      <c r="R19" s="52"/>
      <c r="S19" s="52"/>
      <c r="T19" s="52"/>
      <c r="U19" s="17"/>
      <c r="V19" s="17"/>
      <c r="W19" s="17"/>
      <c r="X19" s="17"/>
      <c r="Y19" s="17"/>
      <c r="Z19" s="17"/>
      <c r="AA19" s="17"/>
      <c r="AB19" s="17"/>
      <c r="AC19" s="17"/>
    </row>
    <row r="20" spans="1:29" ht="30.75" customHeight="1">
      <c r="A20" s="38">
        <v>12</v>
      </c>
      <c r="B20" s="38">
        <v>2024</v>
      </c>
      <c r="C20" s="40">
        <v>145</v>
      </c>
      <c r="D20" s="40"/>
      <c r="E20" s="70" t="s">
        <v>402</v>
      </c>
      <c r="F20" s="38">
        <v>99234667</v>
      </c>
      <c r="G20" s="38" t="s">
        <v>403</v>
      </c>
      <c r="H20" s="38">
        <v>96667116</v>
      </c>
      <c r="I20" s="38" t="s">
        <v>198</v>
      </c>
      <c r="J20" s="80"/>
      <c r="K20" s="75"/>
      <c r="L20" s="38" t="s">
        <v>404</v>
      </c>
      <c r="M20" s="38" t="s">
        <v>182</v>
      </c>
      <c r="N20" s="38" t="s">
        <v>202</v>
      </c>
      <c r="O20" s="45" t="s">
        <v>304</v>
      </c>
      <c r="P20" s="52"/>
      <c r="Q20" s="52"/>
      <c r="R20" s="52"/>
      <c r="S20" s="52"/>
      <c r="T20" s="52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 ht="30.75" customHeight="1">
      <c r="A21" s="38">
        <v>14</v>
      </c>
      <c r="B21" s="38">
        <v>2025</v>
      </c>
      <c r="C21" s="40">
        <v>22</v>
      </c>
      <c r="D21" s="40"/>
      <c r="E21" s="70" t="s">
        <v>410</v>
      </c>
      <c r="F21" s="70">
        <v>95561002</v>
      </c>
      <c r="G21" s="38"/>
      <c r="H21" s="70">
        <v>95129590</v>
      </c>
      <c r="I21" s="38" t="s">
        <v>198</v>
      </c>
      <c r="J21" s="80">
        <v>2812</v>
      </c>
      <c r="K21" s="75"/>
      <c r="L21" s="38" t="s">
        <v>412</v>
      </c>
      <c r="M21" s="38" t="s">
        <v>150</v>
      </c>
      <c r="N21" s="38" t="s">
        <v>202</v>
      </c>
      <c r="O21" s="45" t="s">
        <v>413</v>
      </c>
      <c r="P21" s="52"/>
      <c r="Q21" s="52"/>
      <c r="R21" s="52"/>
      <c r="S21" s="52"/>
      <c r="T21" s="52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ht="30.75" customHeight="1">
      <c r="A22" s="38">
        <v>15</v>
      </c>
      <c r="B22" s="38">
        <v>2025</v>
      </c>
      <c r="C22" s="40">
        <v>25</v>
      </c>
      <c r="D22" s="40" t="str">
        <f>"Bonyan/sup/"&amp;B22&amp;"/"&amp;C22</f>
        <v>Bonyan/sup/2025/25</v>
      </c>
      <c r="E22" s="70" t="s">
        <v>416</v>
      </c>
      <c r="F22" s="38">
        <v>96793995</v>
      </c>
      <c r="G22" s="38"/>
      <c r="H22" s="38"/>
      <c r="I22" s="38" t="s">
        <v>198</v>
      </c>
      <c r="J22" s="80"/>
      <c r="K22" s="75"/>
      <c r="L22" s="38" t="s">
        <v>417</v>
      </c>
      <c r="M22" s="38" t="s">
        <v>150</v>
      </c>
      <c r="N22" s="38" t="s">
        <v>227</v>
      </c>
      <c r="O22" s="45" t="s">
        <v>418</v>
      </c>
      <c r="P22" s="52"/>
      <c r="Q22" s="52"/>
      <c r="R22" s="52"/>
      <c r="S22" s="52"/>
      <c r="T22" s="52"/>
      <c r="U22" s="17"/>
      <c r="V22" s="17"/>
      <c r="W22" s="17"/>
      <c r="X22" s="17"/>
      <c r="Y22" s="17"/>
      <c r="Z22" s="17"/>
      <c r="AA22" s="17"/>
      <c r="AB22" s="17"/>
      <c r="AC22" s="17"/>
    </row>
    <row r="23" spans="1:29" ht="30.75" customHeight="1">
      <c r="A23" s="38">
        <v>16</v>
      </c>
      <c r="B23" s="38">
        <v>2025</v>
      </c>
      <c r="C23" s="40">
        <v>31</v>
      </c>
      <c r="D23" s="40"/>
      <c r="E23" s="70" t="s">
        <v>424</v>
      </c>
      <c r="F23" s="70">
        <v>99199882</v>
      </c>
      <c r="G23" s="38"/>
      <c r="H23" s="70">
        <v>94247930</v>
      </c>
      <c r="I23" s="38" t="s">
        <v>198</v>
      </c>
      <c r="J23" s="80"/>
      <c r="K23" s="75"/>
      <c r="L23" s="38" t="s">
        <v>429</v>
      </c>
      <c r="M23" s="38" t="s">
        <v>150</v>
      </c>
      <c r="N23" s="38" t="s">
        <v>202</v>
      </c>
      <c r="O23" s="45" t="s">
        <v>361</v>
      </c>
      <c r="P23" s="52"/>
      <c r="Q23" s="52"/>
      <c r="R23" s="52"/>
      <c r="S23" s="52"/>
      <c r="T23" s="52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 ht="30.75" customHeight="1">
      <c r="A24" s="38">
        <v>17</v>
      </c>
      <c r="B24" s="38">
        <v>2025</v>
      </c>
      <c r="C24" s="40">
        <v>36</v>
      </c>
      <c r="D24" s="40"/>
      <c r="E24" s="70" t="s">
        <v>444</v>
      </c>
      <c r="F24" s="70">
        <v>99276565</v>
      </c>
      <c r="G24" s="38"/>
      <c r="H24" s="70">
        <v>98980462</v>
      </c>
      <c r="I24" s="38" t="s">
        <v>198</v>
      </c>
      <c r="J24" s="80"/>
      <c r="K24" s="75"/>
      <c r="L24" s="38" t="s">
        <v>412</v>
      </c>
      <c r="M24" s="38" t="s">
        <v>150</v>
      </c>
      <c r="N24" s="38" t="s">
        <v>202</v>
      </c>
      <c r="O24" s="45" t="s">
        <v>449</v>
      </c>
      <c r="P24" s="52"/>
      <c r="Q24" s="52"/>
      <c r="R24" s="52"/>
      <c r="S24" s="52"/>
      <c r="T24" s="52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 ht="30.75" customHeight="1">
      <c r="A25" s="38">
        <v>18</v>
      </c>
      <c r="B25" s="38">
        <v>2025</v>
      </c>
      <c r="C25" s="40">
        <v>41</v>
      </c>
      <c r="D25" s="40"/>
      <c r="E25" s="70" t="s">
        <v>464</v>
      </c>
      <c r="F25" s="70">
        <v>99881310</v>
      </c>
      <c r="G25" s="38" t="s">
        <v>465</v>
      </c>
      <c r="H25" s="70">
        <v>94270564</v>
      </c>
      <c r="I25" s="38" t="s">
        <v>198</v>
      </c>
      <c r="J25" s="80" t="s">
        <v>467</v>
      </c>
      <c r="K25" s="75"/>
      <c r="L25" s="38" t="s">
        <v>469</v>
      </c>
      <c r="M25" s="38" t="s">
        <v>150</v>
      </c>
      <c r="N25" s="38" t="s">
        <v>202</v>
      </c>
      <c r="O25" s="45" t="s">
        <v>471</v>
      </c>
      <c r="P25" s="52"/>
      <c r="Q25" s="52"/>
      <c r="R25" s="52"/>
      <c r="S25" s="52"/>
      <c r="T25" s="52"/>
      <c r="U25" s="17"/>
      <c r="V25" s="17"/>
      <c r="W25" s="17"/>
      <c r="X25" s="17"/>
      <c r="Y25" s="17"/>
      <c r="Z25" s="17"/>
      <c r="AA25" s="17"/>
      <c r="AB25" s="17"/>
      <c r="AC25" s="17"/>
    </row>
    <row r="26" spans="1:29" ht="30.75" customHeight="1">
      <c r="A26" s="106">
        <v>19</v>
      </c>
      <c r="B26" s="106">
        <v>2025</v>
      </c>
      <c r="C26" s="107">
        <v>44</v>
      </c>
      <c r="D26" s="40" t="str">
        <f t="shared" ref="D26:D59" si="1">"Bonyan/sup/"&amp;B26&amp;"/"&amp;C26</f>
        <v>Bonyan/sup/2025/44</v>
      </c>
      <c r="E26" s="108" t="s">
        <v>481</v>
      </c>
      <c r="F26" s="108">
        <v>99880847</v>
      </c>
      <c r="G26" s="106" t="s">
        <v>485</v>
      </c>
      <c r="H26" s="108" t="s">
        <v>332</v>
      </c>
      <c r="I26" s="106" t="s">
        <v>198</v>
      </c>
      <c r="J26" s="109"/>
      <c r="K26" s="110"/>
      <c r="L26" s="106" t="s">
        <v>269</v>
      </c>
      <c r="M26" s="106" t="s">
        <v>150</v>
      </c>
      <c r="N26" s="106" t="s">
        <v>227</v>
      </c>
      <c r="O26" s="106" t="s">
        <v>494</v>
      </c>
      <c r="P26" s="114"/>
      <c r="Q26" s="114"/>
      <c r="R26" s="114"/>
      <c r="S26" s="114"/>
      <c r="T26" s="114"/>
      <c r="U26" s="115"/>
      <c r="V26" s="115"/>
      <c r="W26" s="115"/>
      <c r="X26" s="115"/>
      <c r="Y26" s="115"/>
      <c r="Z26" s="115"/>
      <c r="AA26" s="115"/>
      <c r="AB26" s="115"/>
      <c r="AC26" s="115"/>
    </row>
    <row r="27" spans="1:29" ht="30.75" customHeight="1">
      <c r="A27" s="38">
        <v>20</v>
      </c>
      <c r="B27" s="38">
        <v>2025</v>
      </c>
      <c r="C27" s="40">
        <v>51</v>
      </c>
      <c r="D27" s="40" t="str">
        <f t="shared" si="1"/>
        <v>Bonyan/sup/2025/51</v>
      </c>
      <c r="E27" s="70" t="s">
        <v>511</v>
      </c>
      <c r="F27" s="70">
        <v>95975515</v>
      </c>
      <c r="G27" s="38"/>
      <c r="H27" s="116">
        <v>97048327</v>
      </c>
      <c r="I27" s="38" t="s">
        <v>198</v>
      </c>
      <c r="J27" s="80"/>
      <c r="K27" s="75"/>
      <c r="L27" s="38" t="s">
        <v>200</v>
      </c>
      <c r="M27" s="38" t="s">
        <v>150</v>
      </c>
      <c r="N27" s="38" t="s">
        <v>227</v>
      </c>
      <c r="O27" s="45" t="s">
        <v>494</v>
      </c>
      <c r="P27" s="52"/>
      <c r="Q27" s="52"/>
      <c r="R27" s="52"/>
      <c r="S27" s="52"/>
      <c r="T27" s="52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 ht="30.75" customHeight="1">
      <c r="A28" s="38">
        <v>21</v>
      </c>
      <c r="B28" s="38">
        <v>2025</v>
      </c>
      <c r="C28" s="40">
        <v>81</v>
      </c>
      <c r="D28" s="40" t="str">
        <f t="shared" si="1"/>
        <v>Bonyan/sup/2025/81</v>
      </c>
      <c r="E28" s="70" t="s">
        <v>522</v>
      </c>
      <c r="F28" s="38"/>
      <c r="G28" s="38" t="s">
        <v>523</v>
      </c>
      <c r="H28" s="38">
        <v>91121114</v>
      </c>
      <c r="I28" s="38" t="s">
        <v>198</v>
      </c>
      <c r="J28" s="80">
        <v>24</v>
      </c>
      <c r="K28" s="75"/>
      <c r="L28" s="38" t="s">
        <v>527</v>
      </c>
      <c r="M28" s="38" t="s">
        <v>182</v>
      </c>
      <c r="N28" s="38" t="s">
        <v>227</v>
      </c>
      <c r="O28" s="45"/>
      <c r="P28" s="52"/>
      <c r="Q28" s="52"/>
      <c r="R28" s="52"/>
      <c r="S28" s="52"/>
      <c r="T28" s="52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 ht="30.75" customHeight="1">
      <c r="A29" s="38">
        <v>22</v>
      </c>
      <c r="B29" s="38">
        <v>2025</v>
      </c>
      <c r="C29" s="40">
        <v>82</v>
      </c>
      <c r="D29" s="40" t="str">
        <f t="shared" si="1"/>
        <v>Bonyan/sup/2025/82</v>
      </c>
      <c r="E29" s="70" t="s">
        <v>547</v>
      </c>
      <c r="F29" s="38"/>
      <c r="G29" s="38" t="s">
        <v>523</v>
      </c>
      <c r="H29" s="38">
        <v>91121114</v>
      </c>
      <c r="I29" s="38" t="s">
        <v>198</v>
      </c>
      <c r="J29" s="80">
        <v>6124</v>
      </c>
      <c r="K29" s="75"/>
      <c r="L29" s="38" t="s">
        <v>527</v>
      </c>
      <c r="M29" s="38" t="s">
        <v>182</v>
      </c>
      <c r="N29" s="38" t="s">
        <v>227</v>
      </c>
      <c r="O29" s="45"/>
      <c r="P29" s="52"/>
      <c r="Q29" s="52"/>
      <c r="R29" s="52"/>
      <c r="S29" s="52"/>
      <c r="T29" s="52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 ht="30.75" customHeight="1">
      <c r="A30" s="38">
        <v>23</v>
      </c>
      <c r="B30" s="38">
        <v>2025</v>
      </c>
      <c r="C30" s="40">
        <v>83</v>
      </c>
      <c r="D30" s="40" t="str">
        <f t="shared" si="1"/>
        <v>Bonyan/sup/2025/83</v>
      </c>
      <c r="E30" s="70" t="s">
        <v>567</v>
      </c>
      <c r="F30" s="38"/>
      <c r="G30" s="38" t="s">
        <v>523</v>
      </c>
      <c r="H30" s="38">
        <v>91121114</v>
      </c>
      <c r="I30" s="38" t="s">
        <v>198</v>
      </c>
      <c r="J30" s="80">
        <v>2193</v>
      </c>
      <c r="K30" s="75"/>
      <c r="L30" s="38" t="s">
        <v>527</v>
      </c>
      <c r="M30" s="38" t="s">
        <v>182</v>
      </c>
      <c r="N30" s="38" t="s">
        <v>227</v>
      </c>
      <c r="O30" s="45"/>
      <c r="P30" s="52"/>
      <c r="Q30" s="52"/>
      <c r="R30" s="52"/>
      <c r="S30" s="52"/>
      <c r="T30" s="52"/>
      <c r="U30" s="17"/>
      <c r="V30" s="17"/>
      <c r="W30" s="17"/>
      <c r="X30" s="17"/>
      <c r="Y30" s="17"/>
      <c r="Z30" s="17"/>
      <c r="AA30" s="17"/>
      <c r="AB30" s="17"/>
      <c r="AC30" s="17"/>
    </row>
    <row r="31" spans="1:29" ht="30.75" customHeight="1">
      <c r="A31" s="38">
        <v>24</v>
      </c>
      <c r="B31" s="38">
        <v>2025</v>
      </c>
      <c r="C31" s="40">
        <v>84</v>
      </c>
      <c r="D31" s="40" t="str">
        <f t="shared" si="1"/>
        <v>Bonyan/sup/2025/84</v>
      </c>
      <c r="E31" s="70" t="s">
        <v>577</v>
      </c>
      <c r="F31" s="38"/>
      <c r="G31" s="38" t="s">
        <v>523</v>
      </c>
      <c r="H31" s="38">
        <v>91121114</v>
      </c>
      <c r="I31" s="38" t="s">
        <v>198</v>
      </c>
      <c r="J31" s="80">
        <v>1955</v>
      </c>
      <c r="K31" s="75"/>
      <c r="L31" s="38" t="s">
        <v>527</v>
      </c>
      <c r="M31" s="38" t="s">
        <v>182</v>
      </c>
      <c r="N31" s="38" t="s">
        <v>227</v>
      </c>
      <c r="O31" s="45"/>
      <c r="P31" s="52"/>
      <c r="Q31" s="52"/>
      <c r="R31" s="52"/>
      <c r="S31" s="52"/>
      <c r="T31" s="52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 ht="30.75" customHeight="1">
      <c r="A32" s="38">
        <v>25</v>
      </c>
      <c r="B32" s="38">
        <v>2025</v>
      </c>
      <c r="C32" s="40">
        <v>85</v>
      </c>
      <c r="D32" s="40" t="str">
        <f t="shared" si="1"/>
        <v>Bonyan/sup/2025/85</v>
      </c>
      <c r="E32" s="70" t="s">
        <v>583</v>
      </c>
      <c r="F32" s="38"/>
      <c r="G32" s="38" t="s">
        <v>523</v>
      </c>
      <c r="H32" s="38">
        <v>91121114</v>
      </c>
      <c r="I32" s="38" t="s">
        <v>198</v>
      </c>
      <c r="J32" s="80">
        <v>335</v>
      </c>
      <c r="K32" s="75"/>
      <c r="L32" s="38" t="s">
        <v>527</v>
      </c>
      <c r="M32" s="38" t="s">
        <v>182</v>
      </c>
      <c r="N32" s="38" t="s">
        <v>227</v>
      </c>
      <c r="O32" s="45"/>
      <c r="P32" s="52"/>
      <c r="Q32" s="52"/>
      <c r="R32" s="52"/>
      <c r="S32" s="52"/>
      <c r="T32" s="52"/>
      <c r="U32" s="17"/>
      <c r="V32" s="17"/>
      <c r="W32" s="17"/>
      <c r="X32" s="17"/>
      <c r="Y32" s="17"/>
      <c r="Z32" s="17"/>
      <c r="AA32" s="17"/>
      <c r="AB32" s="17"/>
      <c r="AC32" s="17"/>
    </row>
    <row r="33" spans="1:29" ht="30.75" customHeight="1">
      <c r="A33" s="38">
        <v>26</v>
      </c>
      <c r="B33" s="38">
        <v>2025</v>
      </c>
      <c r="C33" s="40">
        <v>86</v>
      </c>
      <c r="D33" s="40" t="str">
        <f t="shared" si="1"/>
        <v>Bonyan/sup/2025/86</v>
      </c>
      <c r="E33" s="70" t="s">
        <v>598</v>
      </c>
      <c r="F33" s="38"/>
      <c r="G33" s="38" t="s">
        <v>523</v>
      </c>
      <c r="H33" s="38">
        <v>91121114</v>
      </c>
      <c r="I33" s="38" t="s">
        <v>198</v>
      </c>
      <c r="J33" s="80">
        <v>196</v>
      </c>
      <c r="K33" s="75"/>
      <c r="L33" s="38" t="s">
        <v>527</v>
      </c>
      <c r="M33" s="38" t="s">
        <v>182</v>
      </c>
      <c r="N33" s="38" t="s">
        <v>227</v>
      </c>
      <c r="O33" s="45"/>
      <c r="P33" s="52"/>
      <c r="Q33" s="52"/>
      <c r="R33" s="52"/>
      <c r="S33" s="52"/>
      <c r="T33" s="52"/>
      <c r="U33" s="17"/>
      <c r="V33" s="17"/>
      <c r="W33" s="17"/>
      <c r="X33" s="17"/>
      <c r="Y33" s="17"/>
      <c r="Z33" s="17"/>
      <c r="AA33" s="17"/>
      <c r="AB33" s="17"/>
      <c r="AC33" s="17"/>
    </row>
    <row r="34" spans="1:29" ht="30.75" customHeight="1">
      <c r="A34" s="38">
        <v>27</v>
      </c>
      <c r="B34" s="38">
        <v>2025</v>
      </c>
      <c r="C34" s="40">
        <v>92</v>
      </c>
      <c r="D34" s="40" t="str">
        <f t="shared" si="1"/>
        <v>Bonyan/sup/2025/92</v>
      </c>
      <c r="E34" s="70" t="s">
        <v>602</v>
      </c>
      <c r="F34" s="70">
        <v>92020802</v>
      </c>
      <c r="G34" s="38"/>
      <c r="H34" s="70">
        <v>99519065</v>
      </c>
      <c r="I34" s="38" t="s">
        <v>198</v>
      </c>
      <c r="J34" s="80"/>
      <c r="K34" s="75"/>
      <c r="L34" s="38" t="s">
        <v>269</v>
      </c>
      <c r="M34" s="38" t="s">
        <v>150</v>
      </c>
      <c r="N34" s="38" t="s">
        <v>227</v>
      </c>
      <c r="O34" s="45" t="s">
        <v>494</v>
      </c>
      <c r="P34" s="52"/>
      <c r="Q34" s="52"/>
      <c r="R34" s="52"/>
      <c r="S34" s="52"/>
      <c r="T34" s="52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ht="30.75" customHeight="1">
      <c r="A35" s="106">
        <v>28</v>
      </c>
      <c r="B35" s="106">
        <v>2025</v>
      </c>
      <c r="C35" s="107">
        <v>99</v>
      </c>
      <c r="D35" s="40" t="str">
        <f t="shared" si="1"/>
        <v>Bonyan/sup/2025/99</v>
      </c>
      <c r="E35" s="128" t="s">
        <v>608</v>
      </c>
      <c r="F35" s="106">
        <v>99793329</v>
      </c>
      <c r="G35" s="106" t="s">
        <v>611</v>
      </c>
      <c r="H35" s="106">
        <v>78122425</v>
      </c>
      <c r="I35" s="106" t="s">
        <v>198</v>
      </c>
      <c r="J35" s="109"/>
      <c r="K35" s="110"/>
      <c r="L35" s="106" t="s">
        <v>614</v>
      </c>
      <c r="M35" s="106" t="s">
        <v>117</v>
      </c>
      <c r="N35" s="106" t="s">
        <v>227</v>
      </c>
      <c r="O35" s="106"/>
      <c r="P35" s="114"/>
      <c r="Q35" s="114"/>
      <c r="R35" s="114"/>
      <c r="S35" s="114"/>
      <c r="T35" s="114"/>
      <c r="U35" s="115"/>
      <c r="V35" s="115"/>
      <c r="W35" s="115"/>
      <c r="X35" s="115"/>
      <c r="Y35" s="115"/>
      <c r="Z35" s="115"/>
      <c r="AA35" s="115"/>
      <c r="AB35" s="115"/>
      <c r="AC35" s="115"/>
    </row>
    <row r="36" spans="1:29" ht="30.75" customHeight="1">
      <c r="A36" s="38">
        <v>29</v>
      </c>
      <c r="B36" s="38">
        <v>2025</v>
      </c>
      <c r="C36" s="40">
        <v>103</v>
      </c>
      <c r="D36" s="40" t="str">
        <f t="shared" si="1"/>
        <v>Bonyan/sup/2025/103</v>
      </c>
      <c r="E36" s="70" t="s">
        <v>627</v>
      </c>
      <c r="F36" s="38">
        <v>97181818</v>
      </c>
      <c r="G36" s="38" t="s">
        <v>628</v>
      </c>
      <c r="H36" s="38">
        <v>78600468</v>
      </c>
      <c r="I36" s="38" t="s">
        <v>198</v>
      </c>
      <c r="J36" s="80">
        <v>22</v>
      </c>
      <c r="K36" s="75"/>
      <c r="L36" s="38" t="s">
        <v>200</v>
      </c>
      <c r="M36" s="38" t="s">
        <v>182</v>
      </c>
      <c r="N36" s="38" t="s">
        <v>227</v>
      </c>
      <c r="O36" s="45" t="s">
        <v>304</v>
      </c>
      <c r="P36" s="52"/>
      <c r="Q36" s="52"/>
      <c r="R36" s="52"/>
      <c r="S36" s="52"/>
      <c r="T36" s="52"/>
      <c r="U36" s="17"/>
      <c r="V36" s="17"/>
      <c r="W36" s="17"/>
      <c r="X36" s="17"/>
      <c r="Y36" s="17"/>
      <c r="Z36" s="17"/>
      <c r="AA36" s="17"/>
      <c r="AB36" s="17"/>
      <c r="AC36" s="17"/>
    </row>
    <row r="37" spans="1:29" ht="30.75" customHeight="1">
      <c r="A37" s="38">
        <v>30</v>
      </c>
      <c r="B37" s="38">
        <v>2025</v>
      </c>
      <c r="C37" s="40">
        <v>107</v>
      </c>
      <c r="D37" s="40" t="str">
        <f t="shared" si="1"/>
        <v>Bonyan/sup/2025/107</v>
      </c>
      <c r="E37" s="70" t="s">
        <v>643</v>
      </c>
      <c r="F37" s="70">
        <v>99469440</v>
      </c>
      <c r="G37" s="38"/>
      <c r="H37" s="70">
        <v>95430109</v>
      </c>
      <c r="I37" s="38" t="s">
        <v>198</v>
      </c>
      <c r="J37" s="80"/>
      <c r="K37" s="75"/>
      <c r="L37" s="38" t="s">
        <v>200</v>
      </c>
      <c r="M37" s="38" t="s">
        <v>150</v>
      </c>
      <c r="N37" s="38" t="s">
        <v>227</v>
      </c>
      <c r="O37" s="45" t="s">
        <v>494</v>
      </c>
      <c r="P37" s="52"/>
      <c r="Q37" s="52"/>
      <c r="R37" s="52"/>
      <c r="S37" s="52"/>
      <c r="T37" s="52"/>
      <c r="U37" s="17"/>
      <c r="V37" s="17"/>
      <c r="W37" s="17"/>
      <c r="X37" s="17"/>
      <c r="Y37" s="17"/>
      <c r="Z37" s="17"/>
      <c r="AA37" s="17"/>
      <c r="AB37" s="17"/>
      <c r="AC37" s="17"/>
    </row>
    <row r="38" spans="1:29" ht="30.75" customHeight="1">
      <c r="A38" s="38">
        <v>31</v>
      </c>
      <c r="B38" s="38">
        <v>2025</v>
      </c>
      <c r="C38" s="40">
        <v>129</v>
      </c>
      <c r="D38" s="40" t="str">
        <f t="shared" si="1"/>
        <v>Bonyan/sup/2025/129</v>
      </c>
      <c r="E38" s="70" t="s">
        <v>662</v>
      </c>
      <c r="F38" s="38"/>
      <c r="G38" s="38" t="s">
        <v>523</v>
      </c>
      <c r="H38" s="38">
        <v>91121114</v>
      </c>
      <c r="I38" s="38" t="s">
        <v>198</v>
      </c>
      <c r="J38" s="80">
        <v>6127</v>
      </c>
      <c r="K38" s="75"/>
      <c r="L38" s="38" t="s">
        <v>527</v>
      </c>
      <c r="M38" s="38" t="s">
        <v>182</v>
      </c>
      <c r="N38" s="38" t="s">
        <v>227</v>
      </c>
      <c r="O38" s="45"/>
      <c r="P38" s="52"/>
      <c r="Q38" s="52"/>
      <c r="R38" s="52"/>
      <c r="S38" s="52"/>
      <c r="T38" s="52"/>
      <c r="U38" s="17"/>
      <c r="V38" s="17"/>
      <c r="W38" s="17"/>
      <c r="X38" s="17"/>
      <c r="Y38" s="17"/>
      <c r="Z38" s="17"/>
      <c r="AA38" s="17"/>
      <c r="AB38" s="17"/>
      <c r="AC38" s="17"/>
    </row>
    <row r="39" spans="1:29" ht="30.75" customHeight="1">
      <c r="A39" s="38">
        <v>32</v>
      </c>
      <c r="B39" s="38">
        <v>2025</v>
      </c>
      <c r="C39" s="40">
        <v>131</v>
      </c>
      <c r="D39" s="40" t="str">
        <f t="shared" si="1"/>
        <v>Bonyan/sup/2025/131</v>
      </c>
      <c r="E39" s="70" t="s">
        <v>681</v>
      </c>
      <c r="F39" s="38">
        <v>97910825</v>
      </c>
      <c r="G39" s="38" t="s">
        <v>683</v>
      </c>
      <c r="H39" s="38"/>
      <c r="I39" s="38" t="s">
        <v>198</v>
      </c>
      <c r="J39" s="80"/>
      <c r="K39" s="75"/>
      <c r="L39" s="38" t="s">
        <v>684</v>
      </c>
      <c r="M39" s="38" t="s">
        <v>182</v>
      </c>
      <c r="N39" s="38" t="s">
        <v>227</v>
      </c>
      <c r="O39" s="45" t="s">
        <v>304</v>
      </c>
      <c r="P39" s="52"/>
      <c r="Q39" s="52"/>
      <c r="R39" s="52"/>
      <c r="S39" s="52"/>
      <c r="T39" s="52"/>
      <c r="U39" s="17"/>
      <c r="V39" s="17"/>
      <c r="W39" s="17"/>
      <c r="X39" s="17"/>
      <c r="Y39" s="17"/>
      <c r="Z39" s="17"/>
      <c r="AA39" s="17"/>
      <c r="AB39" s="17"/>
      <c r="AC39" s="17"/>
    </row>
    <row r="40" spans="1:29" ht="30.75" customHeight="1">
      <c r="A40" s="38">
        <v>33</v>
      </c>
      <c r="B40" s="38">
        <v>2025</v>
      </c>
      <c r="C40" s="40">
        <v>131</v>
      </c>
      <c r="D40" s="40" t="str">
        <f t="shared" si="1"/>
        <v>Bonyan/sup/2025/131</v>
      </c>
      <c r="E40" s="70" t="s">
        <v>695</v>
      </c>
      <c r="F40" s="38">
        <v>97910825</v>
      </c>
      <c r="G40" s="38" t="s">
        <v>683</v>
      </c>
      <c r="H40" s="38"/>
      <c r="I40" s="38" t="s">
        <v>198</v>
      </c>
      <c r="J40" s="80"/>
      <c r="K40" s="75"/>
      <c r="L40" s="38" t="s">
        <v>684</v>
      </c>
      <c r="M40" s="38" t="s">
        <v>182</v>
      </c>
      <c r="N40" s="38" t="s">
        <v>227</v>
      </c>
      <c r="O40" s="45" t="s">
        <v>304</v>
      </c>
      <c r="P40" s="52"/>
      <c r="Q40" s="52"/>
      <c r="R40" s="52"/>
      <c r="S40" s="52"/>
      <c r="T40" s="52"/>
      <c r="U40" s="17"/>
      <c r="V40" s="17"/>
      <c r="W40" s="17"/>
      <c r="X40" s="17"/>
      <c r="Y40" s="17"/>
      <c r="Z40" s="17"/>
      <c r="AA40" s="17"/>
      <c r="AB40" s="17"/>
      <c r="AC40" s="17"/>
    </row>
    <row r="41" spans="1:29" ht="30.75" customHeight="1">
      <c r="A41" s="38">
        <v>34</v>
      </c>
      <c r="B41" s="38">
        <v>2025</v>
      </c>
      <c r="C41" s="40">
        <v>137</v>
      </c>
      <c r="D41" s="40" t="str">
        <f t="shared" si="1"/>
        <v>Bonyan/sup/2025/137</v>
      </c>
      <c r="E41" s="70" t="s">
        <v>713</v>
      </c>
      <c r="F41" s="38">
        <v>95448906</v>
      </c>
      <c r="G41" s="38" t="s">
        <v>714</v>
      </c>
      <c r="H41" s="38">
        <v>91648832</v>
      </c>
      <c r="I41" s="38" t="s">
        <v>198</v>
      </c>
      <c r="J41" s="80">
        <v>808</v>
      </c>
      <c r="K41" s="75"/>
      <c r="L41" s="38" t="s">
        <v>716</v>
      </c>
      <c r="M41" s="38" t="s">
        <v>182</v>
      </c>
      <c r="N41" s="38" t="s">
        <v>227</v>
      </c>
      <c r="O41" s="45" t="s">
        <v>273</v>
      </c>
      <c r="P41" s="52"/>
      <c r="Q41" s="52"/>
      <c r="R41" s="52"/>
      <c r="S41" s="52"/>
      <c r="T41" s="52"/>
      <c r="U41" s="17"/>
      <c r="V41" s="17"/>
      <c r="W41" s="17"/>
      <c r="X41" s="17"/>
      <c r="Y41" s="17"/>
      <c r="Z41" s="17"/>
      <c r="AA41" s="17"/>
      <c r="AB41" s="17"/>
      <c r="AC41" s="17"/>
    </row>
    <row r="42" spans="1:29" ht="30.75" customHeight="1">
      <c r="A42" s="130">
        <v>35</v>
      </c>
      <c r="B42" s="130">
        <v>2025</v>
      </c>
      <c r="C42" s="131">
        <v>138</v>
      </c>
      <c r="D42" s="40" t="str">
        <f t="shared" si="1"/>
        <v>Bonyan/sup/2025/138</v>
      </c>
      <c r="E42" s="132" t="s">
        <v>749</v>
      </c>
      <c r="F42" s="130">
        <v>99337069</v>
      </c>
      <c r="G42" s="130" t="s">
        <v>752</v>
      </c>
      <c r="H42" s="130">
        <v>94360172</v>
      </c>
      <c r="I42" s="130" t="s">
        <v>198</v>
      </c>
      <c r="J42" s="133"/>
      <c r="K42" s="134"/>
      <c r="L42" s="130" t="s">
        <v>200</v>
      </c>
      <c r="M42" s="130" t="s">
        <v>150</v>
      </c>
      <c r="N42" s="130" t="s">
        <v>227</v>
      </c>
      <c r="O42" s="130" t="s">
        <v>494</v>
      </c>
      <c r="P42" s="136"/>
      <c r="Q42" s="136"/>
      <c r="R42" s="136"/>
      <c r="S42" s="136"/>
      <c r="T42" s="136"/>
      <c r="U42" s="137"/>
      <c r="V42" s="137"/>
      <c r="W42" s="137"/>
      <c r="X42" s="137"/>
      <c r="Y42" s="137"/>
      <c r="Z42" s="137"/>
      <c r="AA42" s="137"/>
      <c r="AB42" s="137"/>
      <c r="AC42" s="137"/>
    </row>
    <row r="43" spans="1:29" ht="30.75" customHeight="1">
      <c r="A43" s="106">
        <v>36</v>
      </c>
      <c r="B43" s="106">
        <v>2025</v>
      </c>
      <c r="C43" s="107">
        <v>139</v>
      </c>
      <c r="D43" s="40" t="str">
        <f t="shared" si="1"/>
        <v>Bonyan/sup/2025/139</v>
      </c>
      <c r="E43" s="108" t="s">
        <v>777</v>
      </c>
      <c r="F43" s="106">
        <v>99285555</v>
      </c>
      <c r="G43" s="106"/>
      <c r="H43" s="106"/>
      <c r="I43" s="106" t="s">
        <v>198</v>
      </c>
      <c r="J43" s="109"/>
      <c r="K43" s="110"/>
      <c r="L43" s="106" t="s">
        <v>527</v>
      </c>
      <c r="M43" s="106" t="s">
        <v>150</v>
      </c>
      <c r="N43" s="106" t="s">
        <v>227</v>
      </c>
      <c r="O43" s="106" t="s">
        <v>783</v>
      </c>
      <c r="P43" s="114"/>
      <c r="Q43" s="114"/>
      <c r="R43" s="114"/>
      <c r="S43" s="114"/>
      <c r="T43" s="114"/>
      <c r="U43" s="115"/>
      <c r="V43" s="115"/>
      <c r="W43" s="115"/>
      <c r="X43" s="115"/>
      <c r="Y43" s="115"/>
      <c r="Z43" s="115"/>
      <c r="AA43" s="115"/>
      <c r="AB43" s="115"/>
      <c r="AC43" s="115"/>
    </row>
    <row r="44" spans="1:29" ht="30.75" customHeight="1">
      <c r="A44" s="38">
        <v>37</v>
      </c>
      <c r="B44" s="38">
        <v>2025</v>
      </c>
      <c r="C44" s="40">
        <v>144</v>
      </c>
      <c r="D44" s="40" t="str">
        <f t="shared" si="1"/>
        <v>Bonyan/sup/2025/144</v>
      </c>
      <c r="E44" s="70" t="s">
        <v>800</v>
      </c>
      <c r="F44" s="38">
        <v>96526554</v>
      </c>
      <c r="G44" s="38" t="s">
        <v>801</v>
      </c>
      <c r="H44" s="38">
        <v>71840474</v>
      </c>
      <c r="I44" s="38" t="s">
        <v>198</v>
      </c>
      <c r="J44" s="80"/>
      <c r="K44" s="75"/>
      <c r="L44" s="38" t="s">
        <v>417</v>
      </c>
      <c r="M44" s="38" t="s">
        <v>150</v>
      </c>
      <c r="N44" s="38" t="s">
        <v>227</v>
      </c>
      <c r="O44" s="45" t="s">
        <v>803</v>
      </c>
      <c r="P44" s="52"/>
      <c r="Q44" s="52"/>
      <c r="R44" s="52"/>
      <c r="S44" s="52"/>
      <c r="T44" s="52"/>
      <c r="U44" s="17"/>
      <c r="V44" s="17"/>
      <c r="W44" s="17"/>
      <c r="X44" s="17"/>
      <c r="Y44" s="17"/>
      <c r="Z44" s="17"/>
      <c r="AA44" s="17"/>
      <c r="AB44" s="17"/>
      <c r="AC44" s="17"/>
    </row>
    <row r="45" spans="1:29" ht="30.75" customHeight="1">
      <c r="A45" s="38">
        <v>38</v>
      </c>
      <c r="B45" s="38">
        <v>2025</v>
      </c>
      <c r="C45" s="40">
        <v>147</v>
      </c>
      <c r="D45" s="40" t="str">
        <f t="shared" si="1"/>
        <v>Bonyan/sup/2025/147</v>
      </c>
      <c r="E45" s="70" t="s">
        <v>814</v>
      </c>
      <c r="F45" s="38"/>
      <c r="G45" s="38"/>
      <c r="H45" s="38">
        <v>91121114</v>
      </c>
      <c r="I45" s="38" t="s">
        <v>198</v>
      </c>
      <c r="J45" s="80">
        <v>557</v>
      </c>
      <c r="K45" s="75"/>
      <c r="L45" s="38" t="s">
        <v>527</v>
      </c>
      <c r="M45" s="38" t="s">
        <v>182</v>
      </c>
      <c r="N45" s="38" t="s">
        <v>227</v>
      </c>
      <c r="O45" s="45"/>
      <c r="P45" s="52"/>
      <c r="Q45" s="52"/>
      <c r="R45" s="52"/>
      <c r="S45" s="52"/>
      <c r="T45" s="52"/>
      <c r="U45" s="17"/>
      <c r="V45" s="17"/>
      <c r="W45" s="17"/>
      <c r="X45" s="17"/>
      <c r="Y45" s="17"/>
      <c r="Z45" s="17"/>
      <c r="AA45" s="17"/>
      <c r="AB45" s="17"/>
      <c r="AC45" s="17"/>
    </row>
    <row r="46" spans="1:29" ht="30.75" customHeight="1">
      <c r="A46" s="38">
        <v>39</v>
      </c>
      <c r="B46" s="38">
        <v>2025</v>
      </c>
      <c r="C46" s="40">
        <v>153</v>
      </c>
      <c r="D46" s="40" t="str">
        <f t="shared" si="1"/>
        <v>Bonyan/sup/2025/153</v>
      </c>
      <c r="E46" s="70" t="s">
        <v>827</v>
      </c>
      <c r="F46" s="38">
        <v>91329920</v>
      </c>
      <c r="G46" s="38"/>
      <c r="H46" s="38"/>
      <c r="I46" s="38" t="s">
        <v>198</v>
      </c>
      <c r="J46" s="80"/>
      <c r="K46" s="75"/>
      <c r="L46" s="38" t="s">
        <v>269</v>
      </c>
      <c r="M46" s="38" t="s">
        <v>117</v>
      </c>
      <c r="N46" s="38" t="s">
        <v>227</v>
      </c>
      <c r="O46" s="45" t="s">
        <v>833</v>
      </c>
      <c r="P46" s="52"/>
      <c r="Q46" s="52"/>
      <c r="R46" s="52"/>
      <c r="S46" s="52"/>
      <c r="T46" s="52"/>
      <c r="U46" s="17"/>
      <c r="V46" s="17"/>
      <c r="W46" s="17"/>
      <c r="X46" s="17"/>
      <c r="Y46" s="17"/>
      <c r="Z46" s="17"/>
      <c r="AA46" s="17"/>
      <c r="AB46" s="17"/>
      <c r="AC46" s="17"/>
    </row>
    <row r="47" spans="1:29" ht="30.75" customHeight="1">
      <c r="A47" s="38">
        <v>40</v>
      </c>
      <c r="B47" s="38">
        <v>2025</v>
      </c>
      <c r="C47" s="40">
        <v>159</v>
      </c>
      <c r="D47" s="40" t="str">
        <f t="shared" si="1"/>
        <v>Bonyan/sup/2025/159</v>
      </c>
      <c r="E47" s="70" t="s">
        <v>849</v>
      </c>
      <c r="F47" s="38" t="s">
        <v>850</v>
      </c>
      <c r="G47" s="38" t="s">
        <v>851</v>
      </c>
      <c r="H47" s="38">
        <v>93173006</v>
      </c>
      <c r="I47" s="38" t="s">
        <v>198</v>
      </c>
      <c r="J47" s="80">
        <v>155</v>
      </c>
      <c r="K47" s="75"/>
      <c r="L47" s="38" t="s">
        <v>854</v>
      </c>
      <c r="M47" s="38" t="s">
        <v>150</v>
      </c>
      <c r="N47" s="38" t="s">
        <v>227</v>
      </c>
      <c r="O47" s="45" t="s">
        <v>494</v>
      </c>
      <c r="P47" s="52"/>
      <c r="Q47" s="52"/>
      <c r="R47" s="52"/>
      <c r="S47" s="52"/>
      <c r="T47" s="52"/>
      <c r="U47" s="17"/>
      <c r="V47" s="17"/>
      <c r="W47" s="17"/>
      <c r="X47" s="17"/>
      <c r="Y47" s="17"/>
      <c r="Z47" s="17"/>
      <c r="AA47" s="17"/>
      <c r="AB47" s="17"/>
      <c r="AC47" s="17"/>
    </row>
    <row r="48" spans="1:29" ht="30.75" customHeight="1">
      <c r="A48" s="38">
        <v>41</v>
      </c>
      <c r="B48" s="38">
        <v>2025</v>
      </c>
      <c r="C48" s="40">
        <v>165</v>
      </c>
      <c r="D48" s="40" t="str">
        <f t="shared" si="1"/>
        <v>Bonyan/sup/2025/165</v>
      </c>
      <c r="E48" s="70" t="s">
        <v>875</v>
      </c>
      <c r="F48" s="38">
        <v>90169016</v>
      </c>
      <c r="G48" s="38" t="s">
        <v>877</v>
      </c>
      <c r="H48" s="38">
        <v>97928217</v>
      </c>
      <c r="I48" s="38" t="s">
        <v>198</v>
      </c>
      <c r="J48" s="80"/>
      <c r="K48" s="75"/>
      <c r="L48" s="38" t="s">
        <v>200</v>
      </c>
      <c r="M48" s="38" t="s">
        <v>150</v>
      </c>
      <c r="N48" s="38" t="s">
        <v>227</v>
      </c>
      <c r="O48" s="45" t="s">
        <v>783</v>
      </c>
      <c r="P48" s="52"/>
      <c r="Q48" s="52"/>
      <c r="R48" s="52"/>
      <c r="S48" s="52"/>
      <c r="T48" s="52"/>
      <c r="U48" s="17"/>
      <c r="V48" s="17"/>
      <c r="W48" s="17"/>
      <c r="X48" s="17"/>
      <c r="Y48" s="17"/>
      <c r="Z48" s="17"/>
      <c r="AA48" s="17"/>
      <c r="AB48" s="17"/>
      <c r="AC48" s="17"/>
    </row>
    <row r="49" spans="1:29" ht="30.75" customHeight="1">
      <c r="A49" s="38">
        <v>42</v>
      </c>
      <c r="B49" s="38">
        <v>2025</v>
      </c>
      <c r="C49" s="40">
        <v>179</v>
      </c>
      <c r="D49" s="40" t="str">
        <f t="shared" si="1"/>
        <v>Bonyan/sup/2025/179</v>
      </c>
      <c r="E49" s="70" t="s">
        <v>898</v>
      </c>
      <c r="F49" s="38">
        <v>99060292</v>
      </c>
      <c r="G49" s="38" t="s">
        <v>899</v>
      </c>
      <c r="H49" s="38">
        <v>97790202</v>
      </c>
      <c r="I49" s="38" t="s">
        <v>198</v>
      </c>
      <c r="J49" s="80">
        <v>122</v>
      </c>
      <c r="K49" s="75"/>
      <c r="L49" s="38" t="s">
        <v>200</v>
      </c>
      <c r="M49" s="38" t="s">
        <v>182</v>
      </c>
      <c r="N49" s="38" t="s">
        <v>227</v>
      </c>
      <c r="O49" s="45" t="s">
        <v>304</v>
      </c>
      <c r="P49" s="52"/>
      <c r="Q49" s="52"/>
      <c r="R49" s="52"/>
      <c r="S49" s="52"/>
      <c r="T49" s="52"/>
      <c r="U49" s="17"/>
      <c r="V49" s="17"/>
      <c r="W49" s="17"/>
      <c r="X49" s="17"/>
      <c r="Y49" s="17"/>
      <c r="Z49" s="17"/>
      <c r="AA49" s="17"/>
      <c r="AB49" s="17"/>
      <c r="AC49" s="17"/>
    </row>
    <row r="50" spans="1:29" ht="30.75" customHeight="1">
      <c r="A50" s="38">
        <v>43</v>
      </c>
      <c r="B50" s="38">
        <v>2025</v>
      </c>
      <c r="C50" s="40">
        <v>182</v>
      </c>
      <c r="D50" s="40" t="str">
        <f t="shared" si="1"/>
        <v>Bonyan/sup/2025/182</v>
      </c>
      <c r="E50" s="70" t="s">
        <v>913</v>
      </c>
      <c r="F50" s="38">
        <v>96560653</v>
      </c>
      <c r="G50" s="38" t="s">
        <v>914</v>
      </c>
      <c r="H50" s="38">
        <v>78285764</v>
      </c>
      <c r="I50" s="38" t="s">
        <v>198</v>
      </c>
      <c r="J50" s="80"/>
      <c r="K50" s="75"/>
      <c r="L50" s="38" t="s">
        <v>200</v>
      </c>
      <c r="M50" s="38" t="s">
        <v>150</v>
      </c>
      <c r="N50" s="38" t="s">
        <v>227</v>
      </c>
      <c r="O50" s="45" t="s">
        <v>803</v>
      </c>
      <c r="P50" s="52"/>
      <c r="Q50" s="52"/>
      <c r="R50" s="52"/>
      <c r="S50" s="52"/>
      <c r="T50" s="52"/>
      <c r="U50" s="17"/>
      <c r="V50" s="17"/>
      <c r="W50" s="17"/>
      <c r="X50" s="17"/>
      <c r="Y50" s="17"/>
      <c r="Z50" s="17"/>
      <c r="AA50" s="17"/>
      <c r="AB50" s="17"/>
      <c r="AC50" s="17"/>
    </row>
    <row r="51" spans="1:29" ht="30.75" customHeight="1">
      <c r="A51" s="142">
        <v>44</v>
      </c>
      <c r="B51" s="142">
        <v>2025</v>
      </c>
      <c r="C51" s="143">
        <v>183</v>
      </c>
      <c r="D51" s="40" t="str">
        <f t="shared" si="1"/>
        <v>Bonyan/sup/2025/183</v>
      </c>
      <c r="E51" s="145" t="s">
        <v>930</v>
      </c>
      <c r="F51" s="142">
        <v>93251155</v>
      </c>
      <c r="G51" s="142"/>
      <c r="H51" s="142">
        <v>99793329</v>
      </c>
      <c r="I51" s="142" t="s">
        <v>198</v>
      </c>
      <c r="J51" s="79"/>
      <c r="K51" s="95"/>
      <c r="L51" s="142" t="s">
        <v>469</v>
      </c>
      <c r="M51" s="142" t="s">
        <v>150</v>
      </c>
      <c r="N51" s="142" t="s">
        <v>227</v>
      </c>
      <c r="O51" s="146" t="s">
        <v>803</v>
      </c>
      <c r="P51" s="147"/>
      <c r="Q51" s="147"/>
      <c r="R51" s="147"/>
      <c r="S51" s="147"/>
      <c r="T51" s="147"/>
      <c r="U51" s="148"/>
      <c r="V51" s="148"/>
      <c r="W51" s="148"/>
      <c r="X51" s="148"/>
      <c r="Y51" s="148"/>
      <c r="Z51" s="148"/>
      <c r="AA51" s="148"/>
      <c r="AB51" s="148"/>
      <c r="AC51" s="148"/>
    </row>
    <row r="52" spans="1:29" ht="30.75" customHeight="1">
      <c r="A52" s="38">
        <v>45</v>
      </c>
      <c r="B52" s="38">
        <v>2025</v>
      </c>
      <c r="C52" s="40">
        <v>187</v>
      </c>
      <c r="D52" s="40" t="str">
        <f t="shared" si="1"/>
        <v>Bonyan/sup/2025/187</v>
      </c>
      <c r="E52" s="70" t="s">
        <v>967</v>
      </c>
      <c r="F52" s="149">
        <v>95294548</v>
      </c>
      <c r="G52" s="38" t="s">
        <v>969</v>
      </c>
      <c r="H52" s="38">
        <v>78731550</v>
      </c>
      <c r="I52" s="38" t="s">
        <v>198</v>
      </c>
      <c r="J52" s="80"/>
      <c r="K52" s="75"/>
      <c r="L52" s="38" t="s">
        <v>200</v>
      </c>
      <c r="M52" s="38" t="s">
        <v>150</v>
      </c>
      <c r="N52" s="38" t="s">
        <v>227</v>
      </c>
      <c r="O52" s="45" t="s">
        <v>803</v>
      </c>
      <c r="P52" s="52"/>
      <c r="Q52" s="52"/>
      <c r="R52" s="52"/>
      <c r="S52" s="52"/>
      <c r="T52" s="52"/>
      <c r="U52" s="17"/>
      <c r="V52" s="17"/>
      <c r="W52" s="17"/>
      <c r="X52" s="17"/>
      <c r="Y52" s="17"/>
      <c r="Z52" s="17"/>
      <c r="AA52" s="17"/>
      <c r="AB52" s="17"/>
      <c r="AC52" s="17"/>
    </row>
    <row r="53" spans="1:29" ht="30" customHeight="1">
      <c r="A53" s="38">
        <v>46</v>
      </c>
      <c r="B53" s="38">
        <v>2025</v>
      </c>
      <c r="C53" s="40">
        <v>188</v>
      </c>
      <c r="D53" s="40" t="str">
        <f t="shared" si="1"/>
        <v>Bonyan/sup/2025/188</v>
      </c>
      <c r="E53" s="70" t="s">
        <v>980</v>
      </c>
      <c r="F53" s="38">
        <v>98003901</v>
      </c>
      <c r="G53" s="150" t="s">
        <v>981</v>
      </c>
      <c r="H53" s="38">
        <v>91627241</v>
      </c>
      <c r="I53" s="38" t="s">
        <v>198</v>
      </c>
      <c r="J53" s="80"/>
      <c r="K53" s="75"/>
      <c r="L53" s="38" t="s">
        <v>200</v>
      </c>
      <c r="M53" s="38" t="s">
        <v>150</v>
      </c>
      <c r="N53" s="38" t="s">
        <v>227</v>
      </c>
      <c r="O53" s="45" t="s">
        <v>494</v>
      </c>
      <c r="P53" s="52"/>
      <c r="Q53" s="52"/>
      <c r="R53" s="52"/>
      <c r="S53" s="52"/>
      <c r="T53" s="52"/>
      <c r="U53" s="17"/>
      <c r="V53" s="17"/>
      <c r="W53" s="17"/>
      <c r="X53" s="17"/>
      <c r="Y53" s="17"/>
      <c r="Z53" s="17"/>
      <c r="AA53" s="17"/>
      <c r="AB53" s="17"/>
      <c r="AC53" s="17"/>
    </row>
    <row r="54" spans="1:29" ht="30.75" customHeight="1">
      <c r="A54" s="38">
        <v>47</v>
      </c>
      <c r="B54" s="38">
        <v>2025</v>
      </c>
      <c r="C54" s="40">
        <v>194</v>
      </c>
      <c r="D54" s="40" t="str">
        <f t="shared" si="1"/>
        <v>Bonyan/sup/2025/194</v>
      </c>
      <c r="E54" s="70" t="s">
        <v>315</v>
      </c>
      <c r="F54" s="38">
        <v>99578680</v>
      </c>
      <c r="G54" s="38"/>
      <c r="H54" s="38">
        <v>96633995</v>
      </c>
      <c r="I54" s="38" t="s">
        <v>198</v>
      </c>
      <c r="J54" s="80"/>
      <c r="K54" s="75"/>
      <c r="L54" s="38" t="s">
        <v>417</v>
      </c>
      <c r="M54" s="38" t="s">
        <v>150</v>
      </c>
      <c r="N54" s="38" t="s">
        <v>227</v>
      </c>
      <c r="O54" s="45" t="s">
        <v>803</v>
      </c>
      <c r="P54" s="52"/>
      <c r="Q54" s="52"/>
      <c r="R54" s="52"/>
      <c r="S54" s="52"/>
      <c r="T54" s="52"/>
      <c r="U54" s="17"/>
      <c r="V54" s="17"/>
      <c r="W54" s="17"/>
      <c r="X54" s="17"/>
      <c r="Y54" s="17"/>
      <c r="Z54" s="17"/>
      <c r="AA54" s="17"/>
      <c r="AB54" s="17"/>
      <c r="AC54" s="17"/>
    </row>
    <row r="55" spans="1:29" ht="30.75" customHeight="1">
      <c r="A55" s="38">
        <v>48</v>
      </c>
      <c r="B55" s="38">
        <v>2026</v>
      </c>
      <c r="C55" s="40">
        <v>19</v>
      </c>
      <c r="D55" s="40" t="str">
        <f t="shared" si="1"/>
        <v>Bonyan/sup/2026/19</v>
      </c>
      <c r="E55" s="70" t="s">
        <v>1014</v>
      </c>
      <c r="F55" s="38">
        <v>99350612</v>
      </c>
      <c r="G55" s="38"/>
      <c r="H55" s="38"/>
      <c r="I55" s="38" t="s">
        <v>198</v>
      </c>
      <c r="J55" s="80"/>
      <c r="K55" s="75"/>
      <c r="L55" s="38" t="s">
        <v>412</v>
      </c>
      <c r="M55" s="38" t="s">
        <v>150</v>
      </c>
      <c r="N55" s="38" t="s">
        <v>227</v>
      </c>
      <c r="O55" s="45" t="s">
        <v>494</v>
      </c>
      <c r="P55" s="52"/>
      <c r="Q55" s="52"/>
      <c r="R55" s="52"/>
      <c r="S55" s="52"/>
      <c r="T55" s="52"/>
      <c r="U55" s="17"/>
      <c r="V55" s="17"/>
      <c r="W55" s="17"/>
      <c r="X55" s="17"/>
      <c r="Y55" s="17"/>
      <c r="Z55" s="17"/>
      <c r="AA55" s="17"/>
      <c r="AB55" s="17"/>
      <c r="AC55" s="17"/>
    </row>
    <row r="56" spans="1:29" ht="30.75" customHeight="1">
      <c r="A56" s="38">
        <v>49</v>
      </c>
      <c r="B56" s="38">
        <v>2026</v>
      </c>
      <c r="C56" s="153">
        <v>20</v>
      </c>
      <c r="D56" s="40" t="str">
        <f t="shared" si="1"/>
        <v>Bonyan/sup/2026/20</v>
      </c>
      <c r="E56" s="70" t="s">
        <v>1039</v>
      </c>
      <c r="F56" s="38">
        <v>96501441</v>
      </c>
      <c r="G56" s="154" t="s">
        <v>1042</v>
      </c>
      <c r="H56" s="38">
        <v>79179043</v>
      </c>
      <c r="I56" s="38" t="s">
        <v>198</v>
      </c>
      <c r="J56" s="80">
        <v>3434</v>
      </c>
      <c r="K56" s="75"/>
      <c r="L56" s="38" t="s">
        <v>417</v>
      </c>
      <c r="M56" s="38" t="s">
        <v>150</v>
      </c>
      <c r="N56" s="38" t="s">
        <v>227</v>
      </c>
      <c r="O56" s="45" t="s">
        <v>1046</v>
      </c>
      <c r="P56" s="52"/>
      <c r="Q56" s="52"/>
      <c r="R56" s="52"/>
      <c r="S56" s="52"/>
      <c r="T56" s="52"/>
      <c r="U56" s="17"/>
      <c r="V56" s="17"/>
      <c r="W56" s="17"/>
      <c r="X56" s="17"/>
      <c r="Y56" s="17"/>
      <c r="Z56" s="17"/>
      <c r="AA56" s="17"/>
      <c r="AB56" s="17"/>
      <c r="AC56" s="17"/>
    </row>
    <row r="57" spans="1:29" ht="30.75" customHeight="1">
      <c r="A57" s="38">
        <v>50</v>
      </c>
      <c r="B57" s="38">
        <v>2026</v>
      </c>
      <c r="C57" s="153">
        <v>34</v>
      </c>
      <c r="D57" s="40" t="str">
        <f t="shared" si="1"/>
        <v>Bonyan/sup/2026/34</v>
      </c>
      <c r="E57" s="70" t="s">
        <v>1059</v>
      </c>
      <c r="F57" s="38">
        <v>97218501</v>
      </c>
      <c r="G57" s="38" t="s">
        <v>1061</v>
      </c>
      <c r="H57" s="38">
        <v>97234999</v>
      </c>
      <c r="I57" s="38" t="s">
        <v>198</v>
      </c>
      <c r="J57" s="80">
        <v>55</v>
      </c>
      <c r="K57" s="75" t="s">
        <v>1063</v>
      </c>
      <c r="L57" s="38" t="s">
        <v>269</v>
      </c>
      <c r="M57" s="38" t="s">
        <v>182</v>
      </c>
      <c r="N57" s="38" t="s">
        <v>227</v>
      </c>
      <c r="O57" s="45" t="s">
        <v>304</v>
      </c>
      <c r="P57" s="52"/>
      <c r="Q57" s="52"/>
      <c r="R57" s="52"/>
      <c r="S57" s="52"/>
      <c r="T57" s="52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 ht="30.75" customHeight="1">
      <c r="A58" s="38">
        <v>51</v>
      </c>
      <c r="B58" s="38">
        <v>2026</v>
      </c>
      <c r="C58" s="153">
        <v>43</v>
      </c>
      <c r="D58" s="40" t="str">
        <f t="shared" si="1"/>
        <v>Bonyan/sup/2026/43</v>
      </c>
      <c r="E58" s="70" t="s">
        <v>1089</v>
      </c>
      <c r="F58" s="38"/>
      <c r="G58" s="142"/>
      <c r="H58" s="38"/>
      <c r="I58" s="38" t="s">
        <v>198</v>
      </c>
      <c r="J58" s="80"/>
      <c r="K58" s="75"/>
      <c r="L58" s="38" t="s">
        <v>1093</v>
      </c>
      <c r="M58" s="38"/>
      <c r="N58" s="38" t="s">
        <v>227</v>
      </c>
      <c r="O58" s="155" t="s">
        <v>1096</v>
      </c>
      <c r="P58" s="52"/>
      <c r="Q58" s="52"/>
      <c r="R58" s="52"/>
      <c r="S58" s="52"/>
      <c r="T58" s="52"/>
      <c r="U58" s="17"/>
      <c r="V58" s="17"/>
      <c r="W58" s="17"/>
      <c r="X58" s="17"/>
      <c r="Y58" s="17"/>
      <c r="Z58" s="17"/>
      <c r="AA58" s="17"/>
      <c r="AB58" s="17"/>
      <c r="AC58" s="17"/>
    </row>
    <row r="59" spans="1:29" ht="30.75" customHeight="1">
      <c r="A59" s="144">
        <v>52</v>
      </c>
      <c r="B59" s="38">
        <v>2026</v>
      </c>
      <c r="C59" s="153">
        <v>47</v>
      </c>
      <c r="D59" s="40" t="str">
        <f t="shared" si="1"/>
        <v>Bonyan/sup/2026/47</v>
      </c>
      <c r="E59" s="154" t="s">
        <v>1124</v>
      </c>
      <c r="F59" s="149">
        <v>94045783</v>
      </c>
      <c r="G59" s="149" t="s">
        <v>1125</v>
      </c>
      <c r="H59" s="149">
        <v>92555136</v>
      </c>
      <c r="I59" s="38" t="s">
        <v>198</v>
      </c>
      <c r="J59" s="80">
        <v>57</v>
      </c>
      <c r="K59" s="75" t="s">
        <v>1127</v>
      </c>
      <c r="L59" s="38" t="s">
        <v>1129</v>
      </c>
      <c r="M59" s="38" t="s">
        <v>150</v>
      </c>
      <c r="N59" s="38" t="s">
        <v>227</v>
      </c>
      <c r="O59" s="146" t="s">
        <v>471</v>
      </c>
      <c r="P59" s="52"/>
      <c r="Q59" s="52"/>
      <c r="R59" s="52"/>
      <c r="S59" s="52"/>
      <c r="T59" s="52"/>
      <c r="U59" s="17"/>
      <c r="V59" s="17"/>
      <c r="W59" s="17"/>
      <c r="X59" s="17"/>
      <c r="Y59" s="17"/>
      <c r="Z59" s="17"/>
      <c r="AA59" s="17"/>
      <c r="AB59" s="17"/>
      <c r="AC59" s="17"/>
    </row>
    <row r="60" spans="1:29" ht="30.75" hidden="1" customHeight="1">
      <c r="A60" s="38">
        <v>53</v>
      </c>
      <c r="B60" s="38">
        <v>2026</v>
      </c>
      <c r="C60" s="153">
        <v>54</v>
      </c>
      <c r="D60" s="153"/>
      <c r="E60" s="70" t="s">
        <v>1132</v>
      </c>
      <c r="F60" s="38"/>
      <c r="G60" s="38"/>
      <c r="H60" s="38"/>
      <c r="I60" s="38" t="s">
        <v>198</v>
      </c>
      <c r="J60" s="80"/>
      <c r="K60" s="75"/>
      <c r="L60" s="38" t="s">
        <v>269</v>
      </c>
      <c r="M60" s="38" t="s">
        <v>150</v>
      </c>
      <c r="N60" s="38" t="s">
        <v>1134</v>
      </c>
      <c r="O60" s="45" t="s">
        <v>1135</v>
      </c>
      <c r="P60" s="52"/>
      <c r="Q60" s="52"/>
      <c r="R60" s="52"/>
      <c r="S60" s="52"/>
      <c r="T60" s="52"/>
      <c r="U60" s="17"/>
      <c r="V60" s="17"/>
      <c r="W60" s="17"/>
      <c r="X60" s="17"/>
      <c r="Y60" s="17"/>
      <c r="Z60" s="17"/>
      <c r="AA60" s="17"/>
      <c r="AB60" s="17"/>
      <c r="AC60" s="17"/>
    </row>
    <row r="61" spans="1:29" ht="30.75" customHeight="1">
      <c r="A61" s="38">
        <v>54</v>
      </c>
      <c r="B61" s="38">
        <v>2026</v>
      </c>
      <c r="C61" s="153">
        <v>60</v>
      </c>
      <c r="D61" s="40" t="str">
        <f t="shared" ref="D61:D63" si="2">"Bonyan/sup/"&amp;B61&amp;"/"&amp;C61</f>
        <v>Bonyan/sup/2026/60</v>
      </c>
      <c r="E61" s="70" t="s">
        <v>1138</v>
      </c>
      <c r="F61" s="38" t="s">
        <v>1139</v>
      </c>
      <c r="G61" s="38" t="s">
        <v>1140</v>
      </c>
      <c r="H61" s="38">
        <v>92271616</v>
      </c>
      <c r="I61" s="38" t="s">
        <v>198</v>
      </c>
      <c r="J61" s="80">
        <v>26</v>
      </c>
      <c r="K61" s="75" t="s">
        <v>1143</v>
      </c>
      <c r="L61" s="38" t="s">
        <v>269</v>
      </c>
      <c r="M61" s="38" t="s">
        <v>150</v>
      </c>
      <c r="N61" s="38" t="s">
        <v>227</v>
      </c>
      <c r="O61" s="45" t="s">
        <v>1144</v>
      </c>
      <c r="P61" s="52"/>
      <c r="Q61" s="52"/>
      <c r="R61" s="52"/>
      <c r="S61" s="52"/>
      <c r="T61" s="52"/>
      <c r="U61" s="17"/>
      <c r="V61" s="17"/>
      <c r="W61" s="17"/>
      <c r="X61" s="17"/>
      <c r="Y61" s="17"/>
      <c r="Z61" s="17"/>
      <c r="AA61" s="17"/>
      <c r="AB61" s="17"/>
      <c r="AC61" s="17"/>
    </row>
    <row r="62" spans="1:29" ht="30.75" customHeight="1">
      <c r="A62" s="38">
        <v>55</v>
      </c>
      <c r="B62" s="38">
        <v>2026</v>
      </c>
      <c r="C62" s="40">
        <v>69</v>
      </c>
      <c r="D62" s="40" t="str">
        <f t="shared" si="2"/>
        <v>Bonyan/sup/2026/69</v>
      </c>
      <c r="E62" s="70" t="s">
        <v>1162</v>
      </c>
      <c r="F62" s="38" t="s">
        <v>1163</v>
      </c>
      <c r="G62" s="38" t="s">
        <v>1164</v>
      </c>
      <c r="H62" s="38">
        <v>92182767</v>
      </c>
      <c r="I62" s="38" t="s">
        <v>198</v>
      </c>
      <c r="J62" s="80">
        <v>2103</v>
      </c>
      <c r="K62" s="75"/>
      <c r="L62" s="38" t="s">
        <v>200</v>
      </c>
      <c r="M62" s="38" t="s">
        <v>150</v>
      </c>
      <c r="N62" s="38" t="s">
        <v>227</v>
      </c>
      <c r="O62" s="45" t="s">
        <v>418</v>
      </c>
      <c r="P62" s="52"/>
      <c r="Q62" s="52"/>
      <c r="R62" s="52"/>
      <c r="S62" s="52"/>
      <c r="T62" s="52"/>
      <c r="U62" s="17"/>
      <c r="V62" s="17"/>
      <c r="W62" s="17"/>
      <c r="X62" s="17"/>
      <c r="Y62" s="17"/>
      <c r="Z62" s="17"/>
      <c r="AA62" s="17"/>
      <c r="AB62" s="17"/>
      <c r="AC62" s="17"/>
    </row>
    <row r="63" spans="1:29" ht="30" customHeight="1">
      <c r="A63" s="38">
        <v>56</v>
      </c>
      <c r="B63" s="38">
        <v>2026</v>
      </c>
      <c r="C63" s="40">
        <v>71</v>
      </c>
      <c r="D63" s="40" t="str">
        <f t="shared" si="2"/>
        <v>Bonyan/sup/2026/71</v>
      </c>
      <c r="E63" s="70" t="s">
        <v>1180</v>
      </c>
      <c r="F63" s="38">
        <v>98014917</v>
      </c>
      <c r="G63" s="38" t="s">
        <v>1181</v>
      </c>
      <c r="H63" s="38">
        <v>99212693</v>
      </c>
      <c r="I63" s="38" t="s">
        <v>198</v>
      </c>
      <c r="J63" s="80">
        <v>2605</v>
      </c>
      <c r="K63" s="75" t="s">
        <v>1184</v>
      </c>
      <c r="L63" s="38" t="s">
        <v>412</v>
      </c>
      <c r="M63" s="38" t="s">
        <v>150</v>
      </c>
      <c r="N63" s="38" t="s">
        <v>227</v>
      </c>
      <c r="O63" s="45" t="s">
        <v>471</v>
      </c>
      <c r="P63" s="52"/>
      <c r="Q63" s="52"/>
      <c r="R63" s="52"/>
      <c r="S63" s="52"/>
      <c r="T63" s="52"/>
      <c r="U63" s="17"/>
      <c r="V63" s="17"/>
      <c r="W63" s="17"/>
      <c r="X63" s="17"/>
      <c r="Y63" s="17"/>
      <c r="Z63" s="17"/>
      <c r="AA63" s="17"/>
      <c r="AB63" s="17"/>
      <c r="AC63" s="17"/>
    </row>
    <row r="64" spans="1:29" ht="30.75" hidden="1" customHeight="1">
      <c r="A64" s="38">
        <v>57</v>
      </c>
      <c r="B64" s="38">
        <v>2026</v>
      </c>
      <c r="C64" s="40">
        <v>75</v>
      </c>
      <c r="D64" s="40"/>
      <c r="E64" s="70" t="s">
        <v>1200</v>
      </c>
      <c r="F64" s="38">
        <v>99735431</v>
      </c>
      <c r="G64" s="38"/>
      <c r="H64" s="38"/>
      <c r="I64" s="38" t="s">
        <v>198</v>
      </c>
      <c r="J64" s="80"/>
      <c r="K64" s="75"/>
      <c r="L64" s="38" t="s">
        <v>269</v>
      </c>
      <c r="M64" s="38" t="s">
        <v>150</v>
      </c>
      <c r="N64" s="38" t="s">
        <v>1134</v>
      </c>
      <c r="O64" s="45" t="s">
        <v>494</v>
      </c>
      <c r="P64" s="52"/>
      <c r="Q64" s="52"/>
      <c r="R64" s="52"/>
      <c r="S64" s="52"/>
      <c r="T64" s="52"/>
      <c r="U64" s="17"/>
      <c r="V64" s="17"/>
      <c r="W64" s="17"/>
      <c r="X64" s="17"/>
      <c r="Y64" s="17"/>
      <c r="Z64" s="17"/>
      <c r="AA64" s="17"/>
      <c r="AB64" s="17"/>
      <c r="AC64" s="17"/>
    </row>
    <row r="65" spans="1:29" ht="30.75" hidden="1" customHeight="1">
      <c r="A65" s="38">
        <v>58</v>
      </c>
      <c r="B65" s="38">
        <v>2026</v>
      </c>
      <c r="C65" s="40">
        <v>76</v>
      </c>
      <c r="D65" s="220"/>
      <c r="E65" s="144" t="s">
        <v>1208</v>
      </c>
      <c r="G65" s="144"/>
      <c r="I65" s="38" t="s">
        <v>198</v>
      </c>
      <c r="J65" s="80">
        <v>12160</v>
      </c>
      <c r="K65" s="75"/>
      <c r="L65" s="38" t="s">
        <v>200</v>
      </c>
      <c r="M65" s="38" t="s">
        <v>150</v>
      </c>
      <c r="N65" s="38" t="s">
        <v>1134</v>
      </c>
      <c r="O65" s="163" t="s">
        <v>803</v>
      </c>
      <c r="P65" s="52"/>
      <c r="Q65" s="52"/>
      <c r="R65" s="52"/>
      <c r="S65" s="52"/>
      <c r="T65" s="52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30.75" hidden="1" customHeight="1">
      <c r="A66" s="38">
        <v>59</v>
      </c>
      <c r="B66" s="38">
        <v>2026</v>
      </c>
      <c r="C66" s="40">
        <v>83</v>
      </c>
      <c r="D66" s="40"/>
      <c r="E66" s="70" t="s">
        <v>1209</v>
      </c>
      <c r="F66" s="38"/>
      <c r="G66" s="38"/>
      <c r="H66" s="38"/>
      <c r="I66" s="38" t="s">
        <v>198</v>
      </c>
      <c r="J66" s="80"/>
      <c r="K66" s="75"/>
      <c r="L66" s="38"/>
      <c r="M66" s="38"/>
      <c r="N66" s="38" t="s">
        <v>1134</v>
      </c>
      <c r="O66" s="45"/>
      <c r="P66" s="52"/>
      <c r="Q66" s="52"/>
      <c r="R66" s="52"/>
      <c r="S66" s="52"/>
      <c r="T66" s="52"/>
      <c r="U66" s="17"/>
      <c r="V66" s="17"/>
      <c r="W66" s="17"/>
      <c r="X66" s="17"/>
      <c r="Y66" s="17"/>
      <c r="Z66" s="17"/>
      <c r="AA66" s="17"/>
      <c r="AB66" s="17"/>
      <c r="AC66" s="17"/>
    </row>
    <row r="67" spans="1:29" ht="30" customHeight="1">
      <c r="A67" s="38">
        <f>A64+1</f>
        <v>58</v>
      </c>
      <c r="B67" s="38">
        <v>2026</v>
      </c>
      <c r="C67" s="40">
        <v>85</v>
      </c>
      <c r="D67" s="40"/>
      <c r="E67" s="70" t="s">
        <v>1210</v>
      </c>
      <c r="F67" s="38"/>
      <c r="G67" s="38"/>
      <c r="H67" s="38"/>
      <c r="I67" s="38" t="s">
        <v>198</v>
      </c>
      <c r="J67" s="80"/>
      <c r="K67" s="75"/>
      <c r="L67" s="38"/>
      <c r="M67" s="38"/>
      <c r="N67" s="38" t="s">
        <v>1134</v>
      </c>
      <c r="O67" s="45"/>
      <c r="P67" s="52"/>
      <c r="Q67" s="52"/>
      <c r="R67" s="52"/>
      <c r="S67" s="52"/>
      <c r="T67" s="52"/>
      <c r="U67" s="17"/>
      <c r="V67" s="17"/>
      <c r="W67" s="17"/>
      <c r="X67" s="17"/>
      <c r="Y67" s="17"/>
      <c r="Z67" s="17"/>
      <c r="AA67" s="17"/>
      <c r="AB67" s="17"/>
      <c r="AC67" s="17"/>
    </row>
    <row r="68" spans="1:29" ht="30" customHeight="1">
      <c r="A68" s="38">
        <v>59</v>
      </c>
      <c r="B68" s="38">
        <v>2026</v>
      </c>
      <c r="C68" s="40">
        <v>100</v>
      </c>
      <c r="D68" s="40" t="str">
        <f>"Bonyan/sup/"&amp;B68&amp;"/"&amp;C68</f>
        <v>Bonyan/sup/2026/100</v>
      </c>
      <c r="E68" s="70" t="s">
        <v>1211</v>
      </c>
      <c r="F68" s="38"/>
      <c r="G68" s="38"/>
      <c r="H68" s="38"/>
      <c r="I68" s="38" t="s">
        <v>198</v>
      </c>
      <c r="J68" s="6">
        <v>455</v>
      </c>
      <c r="K68" s="5" t="s">
        <v>1212</v>
      </c>
      <c r="L68" s="38" t="s">
        <v>1213</v>
      </c>
      <c r="M68" s="38" t="s">
        <v>182</v>
      </c>
      <c r="N68" s="38" t="s">
        <v>227</v>
      </c>
      <c r="O68" s="45" t="s">
        <v>304</v>
      </c>
      <c r="P68" s="52"/>
      <c r="Q68" s="52"/>
      <c r="R68" s="52"/>
      <c r="S68" s="52"/>
      <c r="T68" s="52"/>
      <c r="U68" s="17"/>
      <c r="V68" s="17"/>
      <c r="W68" s="17"/>
      <c r="X68" s="17"/>
      <c r="Y68" s="17"/>
      <c r="Z68" s="17"/>
      <c r="AA68" s="17"/>
      <c r="AB68" s="17"/>
      <c r="AC68" s="17"/>
    </row>
    <row r="69" spans="1:29" ht="30.75" hidden="1" customHeight="1">
      <c r="A69" s="38">
        <f>A65+1</f>
        <v>59</v>
      </c>
      <c r="B69" s="38"/>
      <c r="C69" s="40"/>
      <c r="D69" s="40"/>
      <c r="E69" s="70"/>
      <c r="F69" s="38"/>
      <c r="G69" s="38"/>
      <c r="H69" s="38"/>
      <c r="I69" s="38" t="s">
        <v>198</v>
      </c>
      <c r="J69" s="5"/>
      <c r="K69" s="5"/>
      <c r="L69" s="38"/>
      <c r="M69" s="38"/>
      <c r="N69" s="38"/>
      <c r="O69" s="45"/>
      <c r="P69" s="52"/>
      <c r="Q69" s="52"/>
      <c r="R69" s="52"/>
      <c r="S69" s="52"/>
      <c r="T69" s="52"/>
      <c r="U69" s="17"/>
      <c r="V69" s="17"/>
      <c r="W69" s="17"/>
      <c r="X69" s="17"/>
      <c r="Y69" s="17"/>
      <c r="Z69" s="17"/>
      <c r="AA69" s="17"/>
      <c r="AB69" s="17"/>
      <c r="AC69" s="17"/>
    </row>
    <row r="70" spans="1:29" ht="30.75" hidden="1" customHeight="1">
      <c r="B70" s="38"/>
      <c r="C70" s="40"/>
      <c r="D70" s="40"/>
      <c r="E70" s="70"/>
      <c r="F70" s="38"/>
      <c r="G70" s="38"/>
      <c r="H70" s="38"/>
      <c r="I70" s="38" t="s">
        <v>198</v>
      </c>
      <c r="J70" s="5"/>
      <c r="K70" s="5"/>
      <c r="L70" s="38"/>
      <c r="M70" s="38"/>
      <c r="N70" s="38"/>
      <c r="O70" s="45"/>
      <c r="P70" s="52"/>
      <c r="Q70" s="52"/>
      <c r="R70" s="52"/>
      <c r="S70" s="52"/>
      <c r="T70" s="52"/>
      <c r="U70" s="17"/>
      <c r="V70" s="17"/>
      <c r="W70" s="17"/>
      <c r="X70" s="17"/>
      <c r="Y70" s="17"/>
      <c r="Z70" s="17"/>
      <c r="AA70" s="17"/>
      <c r="AB70" s="17"/>
      <c r="AC70" s="17"/>
    </row>
    <row r="71" spans="1:29" ht="30.75" hidden="1" customHeight="1">
      <c r="B71" s="38"/>
      <c r="C71" s="40"/>
      <c r="D71" s="40"/>
      <c r="E71" s="70"/>
      <c r="F71" s="38"/>
      <c r="G71" s="38"/>
      <c r="H71" s="38"/>
      <c r="I71" s="38" t="s">
        <v>198</v>
      </c>
      <c r="J71" s="5"/>
      <c r="K71" s="5"/>
      <c r="L71" s="38"/>
      <c r="M71" s="38"/>
      <c r="N71" s="38"/>
      <c r="O71" s="45"/>
      <c r="P71" s="52"/>
      <c r="Q71" s="52"/>
      <c r="R71" s="52"/>
      <c r="S71" s="52"/>
      <c r="T71" s="52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 ht="30.75" hidden="1" customHeight="1">
      <c r="A72" s="38" t="e">
        <f>#REF!+1</f>
        <v>#REF!</v>
      </c>
      <c r="B72" s="38"/>
      <c r="C72" s="40"/>
      <c r="D72" s="40"/>
      <c r="E72" s="70"/>
      <c r="F72" s="38"/>
      <c r="G72" s="38"/>
      <c r="H72" s="38"/>
      <c r="I72" s="38" t="s">
        <v>198</v>
      </c>
      <c r="J72" s="5"/>
      <c r="K72" s="5"/>
      <c r="L72" s="38"/>
      <c r="M72" s="38"/>
      <c r="N72" s="38"/>
      <c r="O72" s="45"/>
      <c r="P72" s="52"/>
      <c r="Q72" s="52"/>
      <c r="R72" s="52"/>
      <c r="S72" s="52"/>
      <c r="T72" s="52"/>
      <c r="U72" s="17"/>
      <c r="V72" s="17"/>
      <c r="W72" s="17"/>
      <c r="X72" s="17"/>
      <c r="Y72" s="17"/>
      <c r="Z72" s="17"/>
      <c r="AA72" s="17"/>
      <c r="AB72" s="17"/>
      <c r="AC72" s="17"/>
    </row>
    <row r="73" spans="1:29" ht="30.75" hidden="1" customHeight="1">
      <c r="A73" s="38" t="e">
        <f t="shared" ref="A73:A133" si="3">A72+1</f>
        <v>#REF!</v>
      </c>
      <c r="B73" s="38"/>
      <c r="C73" s="40"/>
      <c r="D73" s="40"/>
      <c r="E73" s="70"/>
      <c r="F73" s="38"/>
      <c r="G73" s="38"/>
      <c r="H73" s="38"/>
      <c r="I73" s="38" t="s">
        <v>198</v>
      </c>
      <c r="J73" s="5"/>
      <c r="K73" s="5"/>
      <c r="L73" s="38"/>
      <c r="M73" s="38"/>
      <c r="N73" s="38"/>
      <c r="O73" s="45"/>
      <c r="P73" s="52"/>
      <c r="Q73" s="52"/>
      <c r="R73" s="52"/>
      <c r="S73" s="52"/>
      <c r="T73" s="52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 ht="30.75" hidden="1" customHeight="1">
      <c r="A74" s="38" t="e">
        <f t="shared" si="3"/>
        <v>#REF!</v>
      </c>
      <c r="B74" s="38"/>
      <c r="C74" s="40"/>
      <c r="D74" s="40"/>
      <c r="E74" s="70"/>
      <c r="F74" s="38"/>
      <c r="G74" s="38"/>
      <c r="H74" s="38"/>
      <c r="I74" s="38" t="s">
        <v>198</v>
      </c>
      <c r="J74" s="5"/>
      <c r="K74" s="5"/>
      <c r="L74" s="38"/>
      <c r="M74" s="38"/>
      <c r="N74" s="38"/>
      <c r="O74" s="45"/>
      <c r="P74" s="52"/>
      <c r="Q74" s="52"/>
      <c r="R74" s="52"/>
      <c r="S74" s="52"/>
      <c r="T74" s="52"/>
      <c r="U74" s="17"/>
      <c r="V74" s="17"/>
      <c r="W74" s="17"/>
      <c r="X74" s="17"/>
      <c r="Y74" s="17"/>
      <c r="Z74" s="17"/>
      <c r="AA74" s="17"/>
      <c r="AB74" s="17"/>
      <c r="AC74" s="17"/>
    </row>
    <row r="75" spans="1:29" ht="30.75" hidden="1" customHeight="1">
      <c r="A75" s="38" t="e">
        <f t="shared" si="3"/>
        <v>#REF!</v>
      </c>
      <c r="B75" s="38"/>
      <c r="C75" s="40"/>
      <c r="D75" s="40"/>
      <c r="E75" s="70"/>
      <c r="F75" s="38"/>
      <c r="G75" s="38"/>
      <c r="H75" s="38"/>
      <c r="I75" s="38" t="s">
        <v>198</v>
      </c>
      <c r="J75" s="5"/>
      <c r="K75" s="5"/>
      <c r="L75" s="38"/>
      <c r="M75" s="38"/>
      <c r="N75" s="38"/>
      <c r="O75" s="45"/>
      <c r="P75" s="52"/>
      <c r="Q75" s="52"/>
      <c r="R75" s="52"/>
      <c r="S75" s="52"/>
      <c r="T75" s="52"/>
      <c r="U75" s="17"/>
      <c r="V75" s="17"/>
      <c r="W75" s="17"/>
      <c r="X75" s="17"/>
      <c r="Y75" s="17"/>
      <c r="Z75" s="17"/>
      <c r="AA75" s="17"/>
      <c r="AB75" s="17"/>
      <c r="AC75" s="17"/>
    </row>
    <row r="76" spans="1:29" ht="30.75" hidden="1" customHeight="1">
      <c r="A76" s="38" t="e">
        <f t="shared" si="3"/>
        <v>#REF!</v>
      </c>
      <c r="B76" s="38"/>
      <c r="C76" s="40"/>
      <c r="D76" s="40"/>
      <c r="E76" s="70"/>
      <c r="F76" s="38"/>
      <c r="G76" s="38"/>
      <c r="H76" s="38"/>
      <c r="I76" s="38" t="s">
        <v>198</v>
      </c>
      <c r="J76" s="5"/>
      <c r="K76" s="5"/>
      <c r="L76" s="38"/>
      <c r="M76" s="38"/>
      <c r="N76" s="38"/>
      <c r="O76" s="45"/>
      <c r="P76" s="52"/>
      <c r="Q76" s="52"/>
      <c r="R76" s="52"/>
      <c r="S76" s="52"/>
      <c r="T76" s="52"/>
      <c r="U76" s="17"/>
      <c r="V76" s="17"/>
      <c r="W76" s="17"/>
      <c r="X76" s="17"/>
      <c r="Y76" s="17"/>
      <c r="Z76" s="17"/>
      <c r="AA76" s="17"/>
      <c r="AB76" s="17"/>
      <c r="AC76" s="17"/>
    </row>
    <row r="77" spans="1:29" ht="30.75" hidden="1" customHeight="1">
      <c r="A77" s="38" t="e">
        <f t="shared" si="3"/>
        <v>#REF!</v>
      </c>
      <c r="B77" s="38">
        <v>2025</v>
      </c>
      <c r="C77" s="40">
        <v>68</v>
      </c>
      <c r="D77" s="40"/>
      <c r="E77" s="41" t="s">
        <v>1214</v>
      </c>
      <c r="F77" s="38"/>
      <c r="G77" s="38"/>
      <c r="H77" s="38"/>
      <c r="L77" s="38" t="s">
        <v>116</v>
      </c>
      <c r="M77" s="38" t="s">
        <v>117</v>
      </c>
      <c r="N77" s="38" t="s">
        <v>152</v>
      </c>
      <c r="O77" s="45"/>
      <c r="P77" s="52"/>
      <c r="Q77" s="52"/>
      <c r="R77" s="52"/>
      <c r="S77" s="52"/>
      <c r="T77" s="52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 ht="30.75" hidden="1" customHeight="1">
      <c r="A78" s="38" t="e">
        <f t="shared" si="3"/>
        <v>#REF!</v>
      </c>
      <c r="B78" s="38"/>
      <c r="C78" s="40"/>
      <c r="D78" s="40"/>
      <c r="E78" s="70"/>
      <c r="F78" s="38"/>
      <c r="G78" s="38"/>
      <c r="H78" s="38"/>
      <c r="I78" s="38" t="s">
        <v>198</v>
      </c>
      <c r="J78" s="5"/>
      <c r="K78" s="5"/>
      <c r="L78" s="38"/>
      <c r="M78" s="38"/>
      <c r="N78" s="38"/>
      <c r="O78" s="45"/>
      <c r="P78" s="52"/>
      <c r="Q78" s="52"/>
      <c r="R78" s="52"/>
      <c r="S78" s="52"/>
      <c r="T78" s="52"/>
      <c r="U78" s="17"/>
      <c r="V78" s="17"/>
      <c r="W78" s="17"/>
      <c r="X78" s="17"/>
      <c r="Y78" s="17"/>
      <c r="Z78" s="17"/>
      <c r="AA78" s="17"/>
      <c r="AB78" s="17"/>
      <c r="AC78" s="17"/>
    </row>
    <row r="79" spans="1:29" ht="30.75" hidden="1" customHeight="1">
      <c r="A79" s="38" t="e">
        <f t="shared" si="3"/>
        <v>#REF!</v>
      </c>
      <c r="B79" s="38"/>
      <c r="C79" s="40"/>
      <c r="D79" s="40"/>
      <c r="E79" s="70"/>
      <c r="F79" s="38"/>
      <c r="G79" s="38"/>
      <c r="H79" s="38"/>
      <c r="I79" s="38" t="s">
        <v>198</v>
      </c>
      <c r="J79" s="5"/>
      <c r="K79" s="5"/>
      <c r="L79" s="38"/>
      <c r="M79" s="38"/>
      <c r="N79" s="38"/>
      <c r="O79" s="45"/>
      <c r="P79" s="52"/>
      <c r="Q79" s="52"/>
      <c r="R79" s="52"/>
      <c r="S79" s="52"/>
      <c r="T79" s="52"/>
      <c r="U79" s="17"/>
      <c r="V79" s="17"/>
      <c r="W79" s="17"/>
      <c r="X79" s="17"/>
      <c r="Y79" s="17"/>
      <c r="Z79" s="17"/>
      <c r="AA79" s="17"/>
      <c r="AB79" s="17"/>
      <c r="AC79" s="17"/>
    </row>
    <row r="80" spans="1:29" ht="30.75" hidden="1" customHeight="1">
      <c r="A80" s="38" t="e">
        <f t="shared" si="3"/>
        <v>#REF!</v>
      </c>
      <c r="B80" s="38"/>
      <c r="C80" s="40"/>
      <c r="D80" s="40"/>
      <c r="E80" s="70"/>
      <c r="F80" s="38"/>
      <c r="G80" s="38"/>
      <c r="H80" s="38"/>
      <c r="I80" s="38" t="s">
        <v>198</v>
      </c>
      <c r="J80" s="5"/>
      <c r="K80" s="5"/>
      <c r="L80" s="38"/>
      <c r="M80" s="38"/>
      <c r="N80" s="38"/>
      <c r="O80" s="45"/>
      <c r="P80" s="52"/>
      <c r="Q80" s="52"/>
      <c r="R80" s="52"/>
      <c r="S80" s="52"/>
      <c r="T80" s="52"/>
      <c r="U80" s="17"/>
      <c r="V80" s="17"/>
      <c r="W80" s="17"/>
      <c r="X80" s="17"/>
      <c r="Y80" s="17"/>
      <c r="Z80" s="17"/>
      <c r="AA80" s="17"/>
      <c r="AB80" s="17"/>
      <c r="AC80" s="17"/>
    </row>
    <row r="81" spans="1:29" ht="30.75" hidden="1" customHeight="1">
      <c r="A81" s="38" t="e">
        <f t="shared" si="3"/>
        <v>#REF!</v>
      </c>
      <c r="B81" s="38"/>
      <c r="C81" s="40"/>
      <c r="D81" s="40"/>
      <c r="E81" s="70"/>
      <c r="F81" s="38"/>
      <c r="G81" s="38"/>
      <c r="H81" s="38"/>
      <c r="I81" s="38" t="s">
        <v>198</v>
      </c>
      <c r="J81" s="5"/>
      <c r="K81" s="5"/>
      <c r="L81" s="38"/>
      <c r="M81" s="38"/>
      <c r="N81" s="38"/>
      <c r="O81" s="45"/>
      <c r="P81" s="52"/>
      <c r="Q81" s="52"/>
      <c r="R81" s="52"/>
      <c r="S81" s="52"/>
      <c r="T81" s="52"/>
      <c r="U81" s="17"/>
      <c r="V81" s="17"/>
      <c r="W81" s="17"/>
      <c r="X81" s="17"/>
      <c r="Y81" s="17"/>
      <c r="Z81" s="17"/>
      <c r="AA81" s="17"/>
      <c r="AB81" s="17"/>
      <c r="AC81" s="17"/>
    </row>
    <row r="82" spans="1:29" ht="30.75" hidden="1" customHeight="1">
      <c r="A82" s="38" t="e">
        <f t="shared" si="3"/>
        <v>#REF!</v>
      </c>
      <c r="B82" s="38"/>
      <c r="C82" s="40"/>
      <c r="D82" s="40"/>
      <c r="E82" s="70"/>
      <c r="F82" s="38"/>
      <c r="G82" s="38"/>
      <c r="H82" s="38"/>
      <c r="I82" s="38" t="s">
        <v>198</v>
      </c>
      <c r="J82" s="5"/>
      <c r="K82" s="5"/>
      <c r="L82" s="38"/>
      <c r="M82" s="38"/>
      <c r="N82" s="38"/>
      <c r="O82" s="45"/>
      <c r="P82" s="52"/>
      <c r="Q82" s="52"/>
      <c r="R82" s="52"/>
      <c r="S82" s="52"/>
      <c r="T82" s="52"/>
      <c r="U82" s="17"/>
      <c r="V82" s="17"/>
      <c r="W82" s="17"/>
      <c r="X82" s="17"/>
      <c r="Y82" s="17"/>
      <c r="Z82" s="17"/>
      <c r="AA82" s="17"/>
      <c r="AB82" s="17"/>
      <c r="AC82" s="17"/>
    </row>
    <row r="83" spans="1:29" ht="30.75" hidden="1" customHeight="1">
      <c r="A83" s="38" t="e">
        <f t="shared" si="3"/>
        <v>#REF!</v>
      </c>
      <c r="B83" s="38"/>
      <c r="C83" s="40"/>
      <c r="D83" s="40"/>
      <c r="E83" s="70"/>
      <c r="F83" s="38"/>
      <c r="G83" s="38"/>
      <c r="H83" s="38"/>
      <c r="I83" s="38" t="s">
        <v>198</v>
      </c>
      <c r="J83" s="5"/>
      <c r="K83" s="5"/>
      <c r="L83" s="38"/>
      <c r="M83" s="38"/>
      <c r="N83" s="38"/>
      <c r="O83" s="45"/>
      <c r="P83" s="52"/>
      <c r="Q83" s="52"/>
      <c r="R83" s="52"/>
      <c r="S83" s="52"/>
      <c r="T83" s="52"/>
      <c r="U83" s="17"/>
      <c r="V83" s="17"/>
      <c r="W83" s="17"/>
      <c r="X83" s="17"/>
      <c r="Y83" s="17"/>
      <c r="Z83" s="17"/>
      <c r="AA83" s="17"/>
      <c r="AB83" s="17"/>
      <c r="AC83" s="17"/>
    </row>
    <row r="84" spans="1:29" ht="30.75" hidden="1" customHeight="1">
      <c r="A84" s="38" t="e">
        <f t="shared" si="3"/>
        <v>#REF!</v>
      </c>
      <c r="B84" s="38"/>
      <c r="C84" s="40"/>
      <c r="D84" s="40"/>
      <c r="E84" s="70"/>
      <c r="F84" s="38"/>
      <c r="G84" s="38"/>
      <c r="H84" s="38"/>
      <c r="I84" s="38" t="s">
        <v>198</v>
      </c>
      <c r="J84" s="5"/>
      <c r="K84" s="5"/>
      <c r="L84" s="38"/>
      <c r="M84" s="38"/>
      <c r="N84" s="38"/>
      <c r="O84" s="45"/>
      <c r="P84" s="52"/>
      <c r="Q84" s="52"/>
      <c r="R84" s="52"/>
      <c r="S84" s="52"/>
      <c r="T84" s="52"/>
      <c r="U84" s="17"/>
      <c r="V84" s="17"/>
      <c r="W84" s="17"/>
      <c r="X84" s="17"/>
      <c r="Y84" s="17"/>
      <c r="Z84" s="17"/>
      <c r="AA84" s="17"/>
      <c r="AB84" s="17"/>
      <c r="AC84" s="17"/>
    </row>
    <row r="85" spans="1:29" ht="30.75" hidden="1" customHeight="1">
      <c r="A85" s="38" t="e">
        <f t="shared" si="3"/>
        <v>#REF!</v>
      </c>
      <c r="B85" s="38"/>
      <c r="C85" s="40"/>
      <c r="D85" s="40"/>
      <c r="E85" s="70"/>
      <c r="F85" s="38"/>
      <c r="G85" s="38"/>
      <c r="H85" s="38"/>
      <c r="I85" s="38" t="s">
        <v>198</v>
      </c>
      <c r="J85" s="5"/>
      <c r="K85" s="5"/>
      <c r="L85" s="38"/>
      <c r="M85" s="38"/>
      <c r="N85" s="38"/>
      <c r="O85" s="45"/>
      <c r="P85" s="52"/>
      <c r="Q85" s="52"/>
      <c r="R85" s="52"/>
      <c r="S85" s="52"/>
      <c r="T85" s="52"/>
      <c r="U85" s="17"/>
      <c r="V85" s="17"/>
      <c r="W85" s="17"/>
      <c r="X85" s="17"/>
      <c r="Y85" s="17"/>
      <c r="Z85" s="17"/>
      <c r="AA85" s="17"/>
      <c r="AB85" s="17"/>
      <c r="AC85" s="17"/>
    </row>
    <row r="86" spans="1:29" ht="30.75" hidden="1" customHeight="1">
      <c r="A86" s="38" t="e">
        <f t="shared" si="3"/>
        <v>#REF!</v>
      </c>
      <c r="B86" s="38"/>
      <c r="C86" s="40"/>
      <c r="D86" s="40"/>
      <c r="E86" s="70"/>
      <c r="F86" s="38"/>
      <c r="G86" s="38"/>
      <c r="H86" s="38"/>
      <c r="I86" s="38" t="s">
        <v>198</v>
      </c>
      <c r="J86" s="5"/>
      <c r="K86" s="5"/>
      <c r="L86" s="38"/>
      <c r="M86" s="38"/>
      <c r="N86" s="38"/>
      <c r="O86" s="45"/>
      <c r="P86" s="52"/>
      <c r="Q86" s="52"/>
      <c r="R86" s="52"/>
      <c r="S86" s="52"/>
      <c r="T86" s="52"/>
      <c r="U86" s="17"/>
      <c r="V86" s="17"/>
      <c r="W86" s="17"/>
      <c r="X86" s="17"/>
      <c r="Y86" s="17"/>
      <c r="Z86" s="17"/>
      <c r="AA86" s="17"/>
      <c r="AB86" s="17"/>
      <c r="AC86" s="17"/>
    </row>
    <row r="87" spans="1:29" ht="30.75" hidden="1" customHeight="1">
      <c r="A87" s="38" t="e">
        <f t="shared" si="3"/>
        <v>#REF!</v>
      </c>
      <c r="B87" s="38"/>
      <c r="C87" s="40"/>
      <c r="D87" s="40"/>
      <c r="E87" s="70"/>
      <c r="F87" s="38"/>
      <c r="G87" s="38"/>
      <c r="H87" s="38"/>
      <c r="I87" s="38" t="s">
        <v>198</v>
      </c>
      <c r="J87" s="5"/>
      <c r="K87" s="5"/>
      <c r="L87" s="38"/>
      <c r="M87" s="38"/>
      <c r="N87" s="38"/>
      <c r="O87" s="45"/>
      <c r="P87" s="52"/>
      <c r="Q87" s="52"/>
      <c r="R87" s="52"/>
      <c r="S87" s="52"/>
      <c r="T87" s="52"/>
      <c r="U87" s="17"/>
      <c r="V87" s="17"/>
      <c r="W87" s="17"/>
      <c r="X87" s="17"/>
      <c r="Y87" s="17"/>
      <c r="Z87" s="17"/>
      <c r="AA87" s="17"/>
      <c r="AB87" s="17"/>
      <c r="AC87" s="17"/>
    </row>
    <row r="88" spans="1:29" ht="30.75" hidden="1" customHeight="1">
      <c r="A88" s="38" t="e">
        <f t="shared" si="3"/>
        <v>#REF!</v>
      </c>
      <c r="B88" s="38"/>
      <c r="C88" s="40"/>
      <c r="D88" s="40"/>
      <c r="E88" s="70"/>
      <c r="F88" s="38"/>
      <c r="G88" s="38"/>
      <c r="H88" s="38"/>
      <c r="I88" s="38" t="s">
        <v>198</v>
      </c>
      <c r="J88" s="5"/>
      <c r="K88" s="5"/>
      <c r="L88" s="38"/>
      <c r="M88" s="38"/>
      <c r="N88" s="38"/>
      <c r="O88" s="45"/>
      <c r="P88" s="52"/>
      <c r="Q88" s="52"/>
      <c r="R88" s="52"/>
      <c r="S88" s="52"/>
      <c r="T88" s="52"/>
      <c r="U88" s="17"/>
      <c r="V88" s="17"/>
      <c r="W88" s="17"/>
      <c r="X88" s="17"/>
      <c r="Y88" s="17"/>
      <c r="Z88" s="17"/>
      <c r="AA88" s="17"/>
      <c r="AB88" s="17"/>
      <c r="AC88" s="17"/>
    </row>
    <row r="89" spans="1:29" ht="30.75" hidden="1" customHeight="1">
      <c r="A89" s="38" t="e">
        <f t="shared" si="3"/>
        <v>#REF!</v>
      </c>
      <c r="B89" s="38"/>
      <c r="C89" s="40"/>
      <c r="D89" s="40"/>
      <c r="E89" s="70"/>
      <c r="F89" s="38"/>
      <c r="G89" s="38"/>
      <c r="H89" s="38"/>
      <c r="I89" s="38" t="s">
        <v>198</v>
      </c>
      <c r="J89" s="5"/>
      <c r="K89" s="5"/>
      <c r="L89" s="38"/>
      <c r="M89" s="38"/>
      <c r="N89" s="38"/>
      <c r="O89" s="45"/>
      <c r="P89" s="52"/>
      <c r="Q89" s="52"/>
      <c r="R89" s="52"/>
      <c r="S89" s="52"/>
      <c r="T89" s="52"/>
      <c r="U89" s="17"/>
      <c r="V89" s="17"/>
      <c r="W89" s="17"/>
      <c r="X89" s="17"/>
      <c r="Y89" s="17"/>
      <c r="Z89" s="17"/>
      <c r="AA89" s="17"/>
      <c r="AB89" s="17"/>
      <c r="AC89" s="17"/>
    </row>
    <row r="90" spans="1:29" ht="30.75" hidden="1" customHeight="1">
      <c r="A90" s="38" t="e">
        <f t="shared" si="3"/>
        <v>#REF!</v>
      </c>
      <c r="B90" s="38"/>
      <c r="C90" s="40"/>
      <c r="D90" s="40"/>
      <c r="E90" s="70"/>
      <c r="F90" s="38"/>
      <c r="G90" s="38"/>
      <c r="H90" s="38"/>
      <c r="I90" s="38" t="s">
        <v>198</v>
      </c>
      <c r="J90" s="5"/>
      <c r="K90" s="5"/>
      <c r="L90" s="38"/>
      <c r="M90" s="38"/>
      <c r="N90" s="38"/>
      <c r="O90" s="45"/>
      <c r="P90" s="52"/>
      <c r="Q90" s="52"/>
      <c r="R90" s="52"/>
      <c r="S90" s="52"/>
      <c r="T90" s="52"/>
      <c r="U90" s="17"/>
      <c r="V90" s="17"/>
      <c r="W90" s="17"/>
      <c r="X90" s="17"/>
      <c r="Y90" s="17"/>
      <c r="Z90" s="17"/>
      <c r="AA90" s="17"/>
      <c r="AB90" s="17"/>
      <c r="AC90" s="17"/>
    </row>
    <row r="91" spans="1:29" ht="30.75" hidden="1" customHeight="1">
      <c r="A91" s="38" t="e">
        <f t="shared" si="3"/>
        <v>#REF!</v>
      </c>
      <c r="B91" s="38"/>
      <c r="C91" s="40"/>
      <c r="D91" s="40"/>
      <c r="E91" s="70"/>
      <c r="F91" s="38"/>
      <c r="G91" s="38"/>
      <c r="H91" s="38"/>
      <c r="I91" s="38" t="s">
        <v>198</v>
      </c>
      <c r="J91" s="5"/>
      <c r="K91" s="5"/>
      <c r="L91" s="38"/>
      <c r="M91" s="38"/>
      <c r="N91" s="38"/>
      <c r="O91" s="45"/>
      <c r="P91" s="52"/>
      <c r="Q91" s="52"/>
      <c r="R91" s="52"/>
      <c r="S91" s="52"/>
      <c r="T91" s="52"/>
      <c r="U91" s="17"/>
      <c r="V91" s="17"/>
      <c r="W91" s="17"/>
      <c r="X91" s="17"/>
      <c r="Y91" s="17"/>
      <c r="Z91" s="17"/>
      <c r="AA91" s="17"/>
      <c r="AB91" s="17"/>
      <c r="AC91" s="17"/>
    </row>
    <row r="92" spans="1:29" ht="30.75" hidden="1" customHeight="1">
      <c r="A92" s="38" t="e">
        <f t="shared" si="3"/>
        <v>#REF!</v>
      </c>
      <c r="B92" s="38"/>
      <c r="C92" s="40"/>
      <c r="D92" s="40"/>
      <c r="E92" s="70"/>
      <c r="F92" s="38"/>
      <c r="G92" s="38"/>
      <c r="H92" s="38"/>
      <c r="I92" s="38" t="s">
        <v>198</v>
      </c>
      <c r="J92" s="5"/>
      <c r="K92" s="5"/>
      <c r="L92" s="38"/>
      <c r="M92" s="38"/>
      <c r="N92" s="38"/>
      <c r="O92" s="45"/>
      <c r="P92" s="52"/>
      <c r="Q92" s="52"/>
      <c r="R92" s="52"/>
      <c r="S92" s="52"/>
      <c r="T92" s="52"/>
      <c r="U92" s="17"/>
      <c r="V92" s="17"/>
      <c r="W92" s="17"/>
      <c r="X92" s="17"/>
      <c r="Y92" s="17"/>
      <c r="Z92" s="17"/>
      <c r="AA92" s="17"/>
      <c r="AB92" s="17"/>
      <c r="AC92" s="17"/>
    </row>
    <row r="93" spans="1:29" ht="30.75" hidden="1" customHeight="1">
      <c r="A93" s="38" t="e">
        <f t="shared" si="3"/>
        <v>#REF!</v>
      </c>
      <c r="B93" s="38"/>
      <c r="C93" s="40"/>
      <c r="D93" s="40"/>
      <c r="E93" s="70"/>
      <c r="F93" s="38"/>
      <c r="G93" s="38"/>
      <c r="H93" s="38"/>
      <c r="I93" s="38" t="s">
        <v>198</v>
      </c>
      <c r="J93" s="5"/>
      <c r="K93" s="5"/>
      <c r="L93" s="38"/>
      <c r="M93" s="38"/>
      <c r="N93" s="38"/>
      <c r="O93" s="45"/>
      <c r="P93" s="52"/>
      <c r="Q93" s="52"/>
      <c r="R93" s="52"/>
      <c r="S93" s="52"/>
      <c r="T93" s="52"/>
      <c r="U93" s="17"/>
      <c r="V93" s="17"/>
      <c r="W93" s="17"/>
      <c r="X93" s="17"/>
      <c r="Y93" s="17"/>
      <c r="Z93" s="17"/>
      <c r="AA93" s="17"/>
      <c r="AB93" s="17"/>
      <c r="AC93" s="17"/>
    </row>
    <row r="94" spans="1:29" ht="30.75" hidden="1" customHeight="1">
      <c r="A94" s="38" t="e">
        <f t="shared" si="3"/>
        <v>#REF!</v>
      </c>
      <c r="B94" s="38"/>
      <c r="C94" s="40"/>
      <c r="D94" s="40"/>
      <c r="E94" s="70"/>
      <c r="F94" s="38"/>
      <c r="G94" s="38"/>
      <c r="H94" s="38"/>
      <c r="I94" s="38" t="s">
        <v>198</v>
      </c>
      <c r="J94" s="5"/>
      <c r="K94" s="5"/>
      <c r="L94" s="38"/>
      <c r="M94" s="38"/>
      <c r="N94" s="38"/>
      <c r="O94" s="45"/>
      <c r="P94" s="52"/>
      <c r="Q94" s="52"/>
      <c r="R94" s="52"/>
      <c r="S94" s="52"/>
      <c r="T94" s="52"/>
      <c r="U94" s="17"/>
      <c r="V94" s="17"/>
      <c r="W94" s="17"/>
      <c r="X94" s="17"/>
      <c r="Y94" s="17"/>
      <c r="Z94" s="17"/>
      <c r="AA94" s="17"/>
      <c r="AB94" s="17"/>
      <c r="AC94" s="17"/>
    </row>
    <row r="95" spans="1:29" ht="30.75" hidden="1" customHeight="1">
      <c r="A95" s="38" t="e">
        <f t="shared" si="3"/>
        <v>#REF!</v>
      </c>
      <c r="B95" s="38"/>
      <c r="C95" s="40"/>
      <c r="D95" s="40"/>
      <c r="E95" s="70"/>
      <c r="F95" s="38"/>
      <c r="G95" s="38"/>
      <c r="H95" s="38"/>
      <c r="I95" s="38" t="s">
        <v>198</v>
      </c>
      <c r="J95" s="5"/>
      <c r="K95" s="5"/>
      <c r="L95" s="38"/>
      <c r="M95" s="38"/>
      <c r="N95" s="38"/>
      <c r="O95" s="45"/>
      <c r="P95" s="52"/>
      <c r="Q95" s="52"/>
      <c r="R95" s="52"/>
      <c r="S95" s="52"/>
      <c r="T95" s="52"/>
      <c r="U95" s="17"/>
      <c r="V95" s="17"/>
      <c r="W95" s="17"/>
      <c r="X95" s="17"/>
      <c r="Y95" s="17"/>
      <c r="Z95" s="17"/>
      <c r="AA95" s="17"/>
      <c r="AB95" s="17"/>
      <c r="AC95" s="17"/>
    </row>
    <row r="96" spans="1:29" ht="30.75" hidden="1" customHeight="1">
      <c r="A96" s="38" t="e">
        <f t="shared" si="3"/>
        <v>#REF!</v>
      </c>
      <c r="B96" s="38"/>
      <c r="C96" s="40"/>
      <c r="D96" s="40"/>
      <c r="E96" s="70"/>
      <c r="F96" s="38"/>
      <c r="G96" s="38"/>
      <c r="H96" s="38"/>
      <c r="I96" s="38" t="s">
        <v>198</v>
      </c>
      <c r="J96" s="5"/>
      <c r="K96" s="5"/>
      <c r="L96" s="38"/>
      <c r="M96" s="38"/>
      <c r="N96" s="38"/>
      <c r="O96" s="45"/>
      <c r="P96" s="52"/>
      <c r="Q96" s="52"/>
      <c r="R96" s="52"/>
      <c r="S96" s="52"/>
      <c r="T96" s="52"/>
      <c r="U96" s="17"/>
      <c r="V96" s="17"/>
      <c r="W96" s="17"/>
      <c r="X96" s="17"/>
      <c r="Y96" s="17"/>
      <c r="Z96" s="17"/>
      <c r="AA96" s="17"/>
      <c r="AB96" s="17"/>
      <c r="AC96" s="17"/>
    </row>
    <row r="97" spans="1:29" ht="30.75" hidden="1" customHeight="1">
      <c r="A97" s="38" t="e">
        <f t="shared" si="3"/>
        <v>#REF!</v>
      </c>
      <c r="B97" s="38"/>
      <c r="C97" s="40"/>
      <c r="D97" s="40"/>
      <c r="E97" s="70"/>
      <c r="F97" s="38"/>
      <c r="G97" s="38"/>
      <c r="H97" s="38"/>
      <c r="I97" s="38" t="s">
        <v>198</v>
      </c>
      <c r="J97" s="5"/>
      <c r="K97" s="167"/>
      <c r="L97" s="38"/>
      <c r="M97" s="38"/>
      <c r="N97" s="38"/>
      <c r="O97" s="45"/>
      <c r="P97" s="52"/>
      <c r="Q97" s="52"/>
      <c r="R97" s="52"/>
      <c r="S97" s="52"/>
      <c r="T97" s="52"/>
      <c r="U97" s="17"/>
      <c r="V97" s="17"/>
      <c r="W97" s="17"/>
      <c r="X97" s="17"/>
      <c r="Y97" s="17"/>
      <c r="Z97" s="17"/>
      <c r="AA97" s="17"/>
      <c r="AB97" s="17"/>
      <c r="AC97" s="17"/>
    </row>
    <row r="98" spans="1:29" ht="30.75" hidden="1" customHeight="1">
      <c r="A98" s="38" t="e">
        <f t="shared" si="3"/>
        <v>#REF!</v>
      </c>
      <c r="B98" s="38"/>
      <c r="C98" s="40"/>
      <c r="D98" s="40"/>
      <c r="E98" s="70"/>
      <c r="F98" s="38"/>
      <c r="G98" s="38"/>
      <c r="H98" s="38"/>
      <c r="I98" s="38" t="s">
        <v>198</v>
      </c>
      <c r="J98" s="5"/>
      <c r="K98" s="167"/>
      <c r="L98" s="38"/>
      <c r="M98" s="38"/>
      <c r="N98" s="38"/>
      <c r="O98" s="45"/>
      <c r="P98" s="52"/>
      <c r="Q98" s="52"/>
      <c r="R98" s="52"/>
      <c r="S98" s="52"/>
      <c r="T98" s="52"/>
      <c r="U98" s="17"/>
      <c r="V98" s="17"/>
      <c r="W98" s="17"/>
      <c r="X98" s="17"/>
      <c r="Y98" s="17"/>
      <c r="Z98" s="17"/>
      <c r="AA98" s="17"/>
      <c r="AB98" s="17"/>
      <c r="AC98" s="17"/>
    </row>
    <row r="99" spans="1:29" ht="30.75" hidden="1" customHeight="1">
      <c r="A99" s="38" t="e">
        <f t="shared" si="3"/>
        <v>#REF!</v>
      </c>
      <c r="B99" s="38"/>
      <c r="C99" s="40"/>
      <c r="D99" s="40"/>
      <c r="E99" s="70"/>
      <c r="F99" s="38"/>
      <c r="G99" s="38"/>
      <c r="H99" s="38"/>
      <c r="I99" s="38" t="s">
        <v>198</v>
      </c>
      <c r="J99" s="5"/>
      <c r="K99" s="5"/>
      <c r="L99" s="38"/>
      <c r="M99" s="38"/>
      <c r="N99" s="38"/>
      <c r="O99" s="45"/>
      <c r="P99" s="52"/>
      <c r="Q99" s="52"/>
      <c r="R99" s="52"/>
      <c r="S99" s="52"/>
      <c r="T99" s="52"/>
      <c r="U99" s="17"/>
      <c r="V99" s="17"/>
      <c r="W99" s="17"/>
      <c r="X99" s="17"/>
      <c r="Y99" s="17"/>
      <c r="Z99" s="17"/>
      <c r="AA99" s="17"/>
      <c r="AB99" s="17"/>
      <c r="AC99" s="17"/>
    </row>
    <row r="100" spans="1:29" ht="30.75" hidden="1" customHeight="1">
      <c r="A100" s="38" t="e">
        <f t="shared" si="3"/>
        <v>#REF!</v>
      </c>
      <c r="B100" s="38"/>
      <c r="C100" s="40"/>
      <c r="D100" s="40"/>
      <c r="E100" s="70"/>
      <c r="F100" s="38"/>
      <c r="G100" s="38"/>
      <c r="H100" s="38"/>
      <c r="I100" s="38" t="s">
        <v>198</v>
      </c>
      <c r="J100" s="5"/>
      <c r="K100" s="5"/>
      <c r="L100" s="38"/>
      <c r="M100" s="38"/>
      <c r="N100" s="38"/>
      <c r="O100" s="45"/>
      <c r="P100" s="52"/>
      <c r="Q100" s="52"/>
      <c r="R100" s="52"/>
      <c r="S100" s="52"/>
      <c r="T100" s="52"/>
      <c r="U100" s="17"/>
      <c r="V100" s="17"/>
      <c r="W100" s="17"/>
      <c r="X100" s="17"/>
      <c r="Y100" s="17"/>
      <c r="Z100" s="17"/>
      <c r="AA100" s="17"/>
      <c r="AB100" s="17"/>
      <c r="AC100" s="17"/>
    </row>
    <row r="101" spans="1:29" ht="30.75" hidden="1" customHeight="1">
      <c r="A101" s="38" t="e">
        <f t="shared" si="3"/>
        <v>#REF!</v>
      </c>
      <c r="B101" s="38">
        <v>2025</v>
      </c>
      <c r="C101" s="40">
        <v>119</v>
      </c>
      <c r="D101" s="40"/>
      <c r="E101" s="41" t="s">
        <v>1219</v>
      </c>
      <c r="F101" s="38"/>
      <c r="G101" s="38"/>
      <c r="H101" s="38"/>
      <c r="L101" s="38" t="s">
        <v>138</v>
      </c>
      <c r="M101" s="174" t="s">
        <v>117</v>
      </c>
      <c r="N101" s="38" t="s">
        <v>1221</v>
      </c>
      <c r="O101" s="175"/>
      <c r="P101" s="52"/>
      <c r="Q101" s="52"/>
      <c r="R101" s="52"/>
      <c r="S101" s="52"/>
      <c r="T101" s="52"/>
      <c r="U101" s="17"/>
      <c r="V101" s="17"/>
      <c r="W101" s="17"/>
      <c r="X101" s="17"/>
      <c r="Y101" s="17"/>
      <c r="Z101" s="17"/>
      <c r="AA101" s="17"/>
      <c r="AB101" s="17"/>
      <c r="AC101" s="17"/>
    </row>
    <row r="102" spans="1:29" ht="30.75" hidden="1" customHeight="1">
      <c r="A102" s="38" t="e">
        <f t="shared" si="3"/>
        <v>#REF!</v>
      </c>
      <c r="B102" s="38"/>
      <c r="C102" s="40"/>
      <c r="D102" s="40"/>
      <c r="E102" s="70"/>
      <c r="F102" s="38"/>
      <c r="G102" s="38"/>
      <c r="H102" s="38"/>
      <c r="I102" s="38" t="s">
        <v>198</v>
      </c>
      <c r="J102" s="5"/>
      <c r="K102" s="5"/>
      <c r="L102" s="38"/>
      <c r="M102" s="38"/>
      <c r="N102" s="38"/>
      <c r="O102" s="45"/>
      <c r="P102" s="52"/>
      <c r="Q102" s="52"/>
      <c r="R102" s="52"/>
      <c r="S102" s="52"/>
      <c r="T102" s="52"/>
      <c r="U102" s="17"/>
      <c r="V102" s="17"/>
      <c r="W102" s="17"/>
      <c r="X102" s="17"/>
      <c r="Y102" s="17"/>
      <c r="Z102" s="17"/>
      <c r="AA102" s="17"/>
      <c r="AB102" s="17"/>
      <c r="AC102" s="17"/>
    </row>
    <row r="103" spans="1:29" ht="30.75" hidden="1" customHeight="1">
      <c r="A103" s="38" t="e">
        <f t="shared" si="3"/>
        <v>#REF!</v>
      </c>
      <c r="B103" s="38"/>
      <c r="C103" s="40"/>
      <c r="D103" s="40"/>
      <c r="E103" s="70"/>
      <c r="F103" s="38"/>
      <c r="G103" s="38"/>
      <c r="H103" s="38"/>
      <c r="I103" s="38" t="s">
        <v>198</v>
      </c>
      <c r="J103" s="5"/>
      <c r="K103" s="5"/>
      <c r="L103" s="38"/>
      <c r="M103" s="38"/>
      <c r="N103" s="38"/>
      <c r="O103" s="45"/>
      <c r="P103" s="52"/>
      <c r="Q103" s="52"/>
      <c r="R103" s="52"/>
      <c r="S103" s="52"/>
      <c r="T103" s="52"/>
      <c r="U103" s="17"/>
      <c r="V103" s="17"/>
      <c r="W103" s="17"/>
      <c r="X103" s="17"/>
      <c r="Y103" s="17"/>
      <c r="Z103" s="17"/>
      <c r="AA103" s="17"/>
      <c r="AB103" s="17"/>
      <c r="AC103" s="17"/>
    </row>
    <row r="104" spans="1:29" ht="30.75" hidden="1" customHeight="1">
      <c r="A104" s="38" t="e">
        <f t="shared" si="3"/>
        <v>#REF!</v>
      </c>
      <c r="B104" s="38"/>
      <c r="C104" s="40"/>
      <c r="D104" s="40"/>
      <c r="E104" s="70"/>
      <c r="F104" s="38"/>
      <c r="G104" s="38"/>
      <c r="H104" s="38"/>
      <c r="I104" s="38" t="s">
        <v>198</v>
      </c>
      <c r="J104" s="5"/>
      <c r="K104" s="5"/>
      <c r="L104" s="38"/>
      <c r="M104" s="38"/>
      <c r="N104" s="38"/>
      <c r="O104" s="45"/>
      <c r="P104" s="52"/>
      <c r="Q104" s="52"/>
      <c r="R104" s="52"/>
      <c r="S104" s="52"/>
      <c r="T104" s="52"/>
      <c r="U104" s="17"/>
      <c r="V104" s="17"/>
      <c r="W104" s="17"/>
      <c r="X104" s="17"/>
      <c r="Y104" s="17"/>
      <c r="Z104" s="17"/>
      <c r="AA104" s="17"/>
      <c r="AB104" s="17"/>
      <c r="AC104" s="17"/>
    </row>
    <row r="105" spans="1:29" ht="30.75" hidden="1" customHeight="1">
      <c r="A105" s="38" t="e">
        <f t="shared" si="3"/>
        <v>#REF!</v>
      </c>
      <c r="B105" s="38"/>
      <c r="C105" s="40"/>
      <c r="D105" s="40"/>
      <c r="E105" s="70"/>
      <c r="F105" s="38"/>
      <c r="G105" s="38"/>
      <c r="H105" s="38"/>
      <c r="I105" s="38" t="s">
        <v>198</v>
      </c>
      <c r="J105" s="5"/>
      <c r="K105" s="5"/>
      <c r="L105" s="38"/>
      <c r="M105" s="38"/>
      <c r="N105" s="38"/>
      <c r="O105" s="45"/>
      <c r="P105" s="52"/>
      <c r="Q105" s="52"/>
      <c r="R105" s="52"/>
      <c r="S105" s="52"/>
      <c r="T105" s="52"/>
      <c r="U105" s="17"/>
      <c r="V105" s="17"/>
      <c r="W105" s="17"/>
      <c r="X105" s="17"/>
      <c r="Y105" s="17"/>
      <c r="Z105" s="17"/>
      <c r="AA105" s="17"/>
      <c r="AB105" s="17"/>
      <c r="AC105" s="17"/>
    </row>
    <row r="106" spans="1:29" ht="30.75" hidden="1" customHeight="1">
      <c r="A106" s="38" t="e">
        <f t="shared" si="3"/>
        <v>#REF!</v>
      </c>
      <c r="B106" s="38"/>
      <c r="C106" s="40"/>
      <c r="D106" s="40"/>
      <c r="E106" s="70"/>
      <c r="F106" s="38"/>
      <c r="G106" s="38"/>
      <c r="H106" s="38"/>
      <c r="I106" s="38" t="s">
        <v>198</v>
      </c>
      <c r="J106" s="5"/>
      <c r="K106" s="5"/>
      <c r="L106" s="38"/>
      <c r="M106" s="38"/>
      <c r="N106" s="38"/>
      <c r="O106" s="45"/>
      <c r="P106" s="52"/>
      <c r="Q106" s="52"/>
      <c r="R106" s="52"/>
      <c r="S106" s="52"/>
      <c r="T106" s="52"/>
      <c r="U106" s="17"/>
      <c r="V106" s="17"/>
      <c r="W106" s="17"/>
      <c r="X106" s="17"/>
      <c r="Y106" s="17"/>
      <c r="Z106" s="17"/>
      <c r="AA106" s="17"/>
      <c r="AB106" s="17"/>
      <c r="AC106" s="17"/>
    </row>
    <row r="107" spans="1:29" ht="30.75" hidden="1" customHeight="1">
      <c r="A107" s="38" t="e">
        <f t="shared" si="3"/>
        <v>#REF!</v>
      </c>
      <c r="B107" s="38"/>
      <c r="C107" s="40"/>
      <c r="D107" s="40"/>
      <c r="E107" s="70"/>
      <c r="F107" s="38"/>
      <c r="G107" s="38"/>
      <c r="H107" s="38"/>
      <c r="I107" s="38" t="s">
        <v>198</v>
      </c>
      <c r="J107" s="5"/>
      <c r="K107" s="5"/>
      <c r="L107" s="38"/>
      <c r="M107" s="38"/>
      <c r="N107" s="38"/>
      <c r="O107" s="45"/>
      <c r="P107" s="52"/>
      <c r="Q107" s="52"/>
      <c r="R107" s="52"/>
      <c r="S107" s="52"/>
      <c r="T107" s="52"/>
      <c r="U107" s="17"/>
      <c r="V107" s="17"/>
      <c r="W107" s="17"/>
      <c r="X107" s="17"/>
      <c r="Y107" s="17"/>
      <c r="Z107" s="17"/>
      <c r="AA107" s="17"/>
      <c r="AB107" s="17"/>
      <c r="AC107" s="17"/>
    </row>
    <row r="108" spans="1:29" ht="30.75" hidden="1" customHeight="1">
      <c r="A108" s="38" t="e">
        <f t="shared" si="3"/>
        <v>#REF!</v>
      </c>
      <c r="B108" s="38"/>
      <c r="C108" s="40"/>
      <c r="D108" s="40"/>
      <c r="E108" s="70"/>
      <c r="F108" s="38"/>
      <c r="G108" s="38"/>
      <c r="H108" s="38"/>
      <c r="I108" s="38" t="s">
        <v>198</v>
      </c>
      <c r="J108" s="5"/>
      <c r="K108" s="167"/>
      <c r="L108" s="38"/>
      <c r="M108" s="38"/>
      <c r="N108" s="38"/>
      <c r="O108" s="45"/>
      <c r="P108" s="52"/>
      <c r="Q108" s="52"/>
      <c r="R108" s="52"/>
      <c r="S108" s="52"/>
      <c r="T108" s="52"/>
      <c r="U108" s="17"/>
      <c r="V108" s="17"/>
      <c r="W108" s="17"/>
      <c r="X108" s="17"/>
      <c r="Y108" s="17"/>
      <c r="Z108" s="17"/>
      <c r="AA108" s="17"/>
      <c r="AB108" s="17"/>
      <c r="AC108" s="17"/>
    </row>
    <row r="109" spans="1:29" ht="30.75" hidden="1" customHeight="1">
      <c r="A109" s="38" t="e">
        <f t="shared" si="3"/>
        <v>#REF!</v>
      </c>
      <c r="B109" s="38"/>
      <c r="C109" s="40"/>
      <c r="D109" s="40"/>
      <c r="E109" s="70"/>
      <c r="F109" s="38"/>
      <c r="G109" s="38"/>
      <c r="H109" s="38"/>
      <c r="I109" s="38" t="s">
        <v>198</v>
      </c>
      <c r="J109" s="5"/>
      <c r="K109" s="5"/>
      <c r="L109" s="38"/>
      <c r="M109" s="38"/>
      <c r="N109" s="38"/>
      <c r="O109" s="45"/>
      <c r="P109" s="52"/>
      <c r="Q109" s="52"/>
      <c r="R109" s="52"/>
      <c r="S109" s="52"/>
      <c r="T109" s="52"/>
      <c r="U109" s="17"/>
      <c r="V109" s="17"/>
      <c r="W109" s="17"/>
      <c r="X109" s="17"/>
      <c r="Y109" s="17"/>
      <c r="Z109" s="17"/>
      <c r="AA109" s="17"/>
      <c r="AB109" s="17"/>
      <c r="AC109" s="17"/>
    </row>
    <row r="110" spans="1:29" ht="30.75" hidden="1" customHeight="1">
      <c r="A110" s="38" t="e">
        <f t="shared" si="3"/>
        <v>#REF!</v>
      </c>
      <c r="B110" s="38"/>
      <c r="C110" s="40"/>
      <c r="D110" s="40"/>
      <c r="E110" s="70"/>
      <c r="F110" s="38"/>
      <c r="G110" s="38"/>
      <c r="H110" s="38"/>
      <c r="I110" s="38" t="s">
        <v>198</v>
      </c>
      <c r="J110" s="5"/>
      <c r="K110" s="167"/>
      <c r="L110" s="38"/>
      <c r="M110" s="38"/>
      <c r="N110" s="38"/>
      <c r="O110" s="45"/>
      <c r="P110" s="52"/>
      <c r="Q110" s="52"/>
      <c r="R110" s="52"/>
      <c r="S110" s="52"/>
      <c r="T110" s="52"/>
      <c r="U110" s="17"/>
      <c r="V110" s="17"/>
      <c r="W110" s="17"/>
      <c r="X110" s="17"/>
      <c r="Y110" s="17"/>
      <c r="Z110" s="17"/>
      <c r="AA110" s="17"/>
      <c r="AB110" s="17"/>
      <c r="AC110" s="17"/>
    </row>
    <row r="111" spans="1:29" ht="30.75" hidden="1" customHeight="1">
      <c r="A111" s="38" t="e">
        <f t="shared" si="3"/>
        <v>#REF!</v>
      </c>
      <c r="B111" s="38"/>
      <c r="C111" s="40"/>
      <c r="D111" s="40"/>
      <c r="E111" s="70"/>
      <c r="F111" s="38"/>
      <c r="G111" s="38"/>
      <c r="H111" s="38"/>
      <c r="I111" s="38" t="s">
        <v>198</v>
      </c>
      <c r="J111" s="5"/>
      <c r="K111" s="5"/>
      <c r="L111" s="38"/>
      <c r="M111" s="38"/>
      <c r="N111" s="38"/>
      <c r="O111" s="45"/>
      <c r="P111" s="52"/>
      <c r="Q111" s="52"/>
      <c r="R111" s="52"/>
      <c r="S111" s="52"/>
      <c r="T111" s="52"/>
      <c r="U111" s="17"/>
      <c r="V111" s="17"/>
      <c r="W111" s="17"/>
      <c r="X111" s="17"/>
      <c r="Y111" s="17"/>
      <c r="Z111" s="17"/>
      <c r="AA111" s="17"/>
      <c r="AB111" s="17"/>
      <c r="AC111" s="17"/>
    </row>
    <row r="112" spans="1:29" ht="30.75" hidden="1" customHeight="1">
      <c r="A112" s="38" t="e">
        <f t="shared" si="3"/>
        <v>#REF!</v>
      </c>
      <c r="B112" s="38"/>
      <c r="C112" s="40"/>
      <c r="D112" s="40"/>
      <c r="E112" s="70"/>
      <c r="F112" s="38"/>
      <c r="G112" s="38"/>
      <c r="H112" s="38"/>
      <c r="I112" s="38" t="s">
        <v>198</v>
      </c>
      <c r="J112" s="5"/>
      <c r="K112" s="5"/>
      <c r="L112" s="38"/>
      <c r="M112" s="38"/>
      <c r="N112" s="38"/>
      <c r="O112" s="45"/>
      <c r="P112" s="52"/>
      <c r="Q112" s="52"/>
      <c r="R112" s="52"/>
      <c r="S112" s="52"/>
      <c r="T112" s="52"/>
      <c r="U112" s="17"/>
      <c r="V112" s="17"/>
      <c r="W112" s="17"/>
      <c r="X112" s="17"/>
      <c r="Y112" s="17"/>
      <c r="Z112" s="17"/>
      <c r="AA112" s="17"/>
      <c r="AB112" s="17"/>
      <c r="AC112" s="17"/>
    </row>
    <row r="113" spans="1:29" ht="30.75" hidden="1" customHeight="1">
      <c r="A113" s="38" t="e">
        <f t="shared" si="3"/>
        <v>#REF!</v>
      </c>
      <c r="B113" s="38"/>
      <c r="C113" s="40"/>
      <c r="D113" s="40"/>
      <c r="E113" s="70"/>
      <c r="F113" s="38"/>
      <c r="G113" s="38"/>
      <c r="H113" s="38"/>
      <c r="I113" s="38" t="s">
        <v>198</v>
      </c>
      <c r="J113" s="5"/>
      <c r="K113" s="5"/>
      <c r="L113" s="38"/>
      <c r="M113" s="38"/>
      <c r="N113" s="38"/>
      <c r="O113" s="45"/>
      <c r="P113" s="52"/>
      <c r="Q113" s="52"/>
      <c r="R113" s="52"/>
      <c r="S113" s="52"/>
      <c r="T113" s="52"/>
      <c r="U113" s="17"/>
      <c r="V113" s="17"/>
      <c r="W113" s="17"/>
      <c r="X113" s="17"/>
      <c r="Y113" s="17"/>
      <c r="Z113" s="17"/>
      <c r="AA113" s="17"/>
      <c r="AB113" s="17"/>
      <c r="AC113" s="17"/>
    </row>
    <row r="114" spans="1:29" ht="30.75" hidden="1" customHeight="1">
      <c r="A114" s="38" t="e">
        <f t="shared" si="3"/>
        <v>#REF!</v>
      </c>
      <c r="B114" s="38"/>
      <c r="C114" s="40"/>
      <c r="D114" s="40"/>
      <c r="E114" s="70"/>
      <c r="F114" s="38"/>
      <c r="G114" s="38"/>
      <c r="H114" s="38"/>
      <c r="I114" s="5"/>
      <c r="J114" s="5"/>
      <c r="K114" s="5"/>
      <c r="L114" s="38"/>
      <c r="M114" s="38"/>
      <c r="N114" s="38"/>
      <c r="O114" s="45"/>
      <c r="P114" s="52"/>
      <c r="Q114" s="52"/>
      <c r="R114" s="52"/>
      <c r="S114" s="52"/>
      <c r="T114" s="52"/>
      <c r="U114" s="17"/>
      <c r="V114" s="17"/>
      <c r="W114" s="17"/>
      <c r="X114" s="17"/>
      <c r="Y114" s="17"/>
      <c r="Z114" s="17"/>
      <c r="AA114" s="17"/>
      <c r="AB114" s="17"/>
      <c r="AC114" s="17"/>
    </row>
    <row r="115" spans="1:29" ht="30.75" hidden="1" customHeight="1">
      <c r="A115" s="38" t="e">
        <f t="shared" si="3"/>
        <v>#REF!</v>
      </c>
      <c r="B115" s="38"/>
      <c r="C115" s="40"/>
      <c r="D115" s="40"/>
      <c r="E115" s="70"/>
      <c r="F115" s="38"/>
      <c r="G115" s="38"/>
      <c r="H115" s="38"/>
      <c r="I115" s="5"/>
      <c r="J115" s="5"/>
      <c r="K115" s="5"/>
      <c r="L115" s="38"/>
      <c r="M115" s="38"/>
      <c r="N115" s="38"/>
      <c r="O115" s="45"/>
      <c r="P115" s="52"/>
      <c r="Q115" s="52"/>
      <c r="R115" s="52"/>
      <c r="S115" s="52"/>
      <c r="T115" s="52"/>
      <c r="U115" s="17"/>
      <c r="V115" s="17"/>
      <c r="W115" s="17"/>
      <c r="X115" s="17"/>
      <c r="Y115" s="17"/>
      <c r="Z115" s="17"/>
      <c r="AA115" s="17"/>
      <c r="AB115" s="17"/>
      <c r="AC115" s="17"/>
    </row>
    <row r="116" spans="1:29" ht="30.75" hidden="1" customHeight="1">
      <c r="A116" s="38" t="e">
        <f t="shared" si="3"/>
        <v>#REF!</v>
      </c>
      <c r="B116" s="38"/>
      <c r="C116" s="40"/>
      <c r="D116" s="40"/>
      <c r="E116" s="70"/>
      <c r="F116" s="38"/>
      <c r="G116" s="38"/>
      <c r="H116" s="38"/>
      <c r="I116" s="5"/>
      <c r="J116" s="5"/>
      <c r="K116" s="5"/>
      <c r="L116" s="38"/>
      <c r="M116" s="38"/>
      <c r="N116" s="38"/>
      <c r="O116" s="45"/>
      <c r="P116" s="52"/>
      <c r="Q116" s="52"/>
      <c r="R116" s="52"/>
      <c r="S116" s="52"/>
      <c r="T116" s="52"/>
      <c r="U116" s="17"/>
      <c r="V116" s="17"/>
      <c r="W116" s="17"/>
      <c r="X116" s="17"/>
      <c r="Y116" s="17"/>
      <c r="Z116" s="17"/>
      <c r="AA116" s="17"/>
      <c r="AB116" s="17"/>
      <c r="AC116" s="17"/>
    </row>
    <row r="117" spans="1:29" ht="30.75" hidden="1" customHeight="1">
      <c r="A117" s="38" t="e">
        <f t="shared" si="3"/>
        <v>#REF!</v>
      </c>
      <c r="B117" s="38"/>
      <c r="C117" s="40"/>
      <c r="D117" s="40"/>
      <c r="E117" s="70"/>
      <c r="F117" s="38"/>
      <c r="G117" s="38"/>
      <c r="H117" s="38"/>
      <c r="I117" s="5"/>
      <c r="J117" s="5"/>
      <c r="K117" s="5"/>
      <c r="L117" s="38"/>
      <c r="M117" s="38"/>
      <c r="N117" s="38"/>
      <c r="O117" s="45"/>
      <c r="P117" s="52"/>
      <c r="Q117" s="52"/>
      <c r="R117" s="52"/>
      <c r="S117" s="52"/>
      <c r="T117" s="52"/>
      <c r="U117" s="17"/>
      <c r="V117" s="17"/>
      <c r="W117" s="17"/>
      <c r="X117" s="17"/>
      <c r="Y117" s="17"/>
      <c r="Z117" s="17"/>
      <c r="AA117" s="17"/>
      <c r="AB117" s="17"/>
      <c r="AC117" s="17"/>
    </row>
    <row r="118" spans="1:29" ht="30.75" hidden="1" customHeight="1">
      <c r="A118" s="38" t="e">
        <f t="shared" si="3"/>
        <v>#REF!</v>
      </c>
      <c r="B118" s="38"/>
      <c r="C118" s="40"/>
      <c r="D118" s="40"/>
      <c r="E118" s="70"/>
      <c r="F118" s="38"/>
      <c r="G118" s="38"/>
      <c r="H118" s="38"/>
      <c r="I118" s="5"/>
      <c r="J118" s="5"/>
      <c r="K118" s="5"/>
      <c r="L118" s="38"/>
      <c r="M118" s="38"/>
      <c r="N118" s="38"/>
      <c r="O118" s="45"/>
      <c r="P118" s="52"/>
      <c r="Q118" s="52"/>
      <c r="R118" s="52"/>
      <c r="S118" s="52"/>
      <c r="T118" s="52"/>
      <c r="U118" s="17"/>
      <c r="V118" s="17"/>
      <c r="W118" s="17"/>
      <c r="X118" s="17"/>
      <c r="Y118" s="17"/>
      <c r="Z118" s="17"/>
      <c r="AA118" s="17"/>
      <c r="AB118" s="17"/>
      <c r="AC118" s="17"/>
    </row>
    <row r="119" spans="1:29" ht="30.75" hidden="1" customHeight="1">
      <c r="A119" s="38" t="e">
        <f t="shared" si="3"/>
        <v>#REF!</v>
      </c>
      <c r="B119" s="38"/>
      <c r="C119" s="40"/>
      <c r="D119" s="40"/>
      <c r="E119" s="70"/>
      <c r="F119" s="38"/>
      <c r="G119" s="38"/>
      <c r="H119" s="38"/>
      <c r="I119" s="5"/>
      <c r="J119" s="5"/>
      <c r="K119" s="5"/>
      <c r="L119" s="38"/>
      <c r="M119" s="38"/>
      <c r="N119" s="38"/>
      <c r="O119" s="45"/>
      <c r="P119" s="52"/>
      <c r="Q119" s="52"/>
      <c r="R119" s="52"/>
      <c r="S119" s="52"/>
      <c r="T119" s="52"/>
      <c r="U119" s="17"/>
      <c r="V119" s="17"/>
      <c r="W119" s="17"/>
      <c r="X119" s="17"/>
      <c r="Y119" s="17"/>
      <c r="Z119" s="17"/>
      <c r="AA119" s="17"/>
      <c r="AB119" s="17"/>
      <c r="AC119" s="17"/>
    </row>
    <row r="120" spans="1:29" ht="30.75" hidden="1" customHeight="1">
      <c r="A120" s="38" t="e">
        <f t="shared" si="3"/>
        <v>#REF!</v>
      </c>
      <c r="B120" s="38">
        <v>2025</v>
      </c>
      <c r="C120" s="40">
        <v>168</v>
      </c>
      <c r="D120" s="40"/>
      <c r="E120" s="41" t="s">
        <v>1279</v>
      </c>
      <c r="F120" s="38"/>
      <c r="G120" s="38"/>
      <c r="H120" s="38"/>
      <c r="L120" s="38" t="s">
        <v>1280</v>
      </c>
      <c r="M120" s="38" t="s">
        <v>182</v>
      </c>
      <c r="N120" s="38" t="s">
        <v>1281</v>
      </c>
      <c r="O120" s="45" t="s">
        <v>304</v>
      </c>
      <c r="P120" s="52"/>
      <c r="Q120" s="52"/>
      <c r="R120" s="52"/>
      <c r="S120" s="52"/>
      <c r="T120" s="52"/>
      <c r="U120" s="17"/>
      <c r="V120" s="17"/>
      <c r="W120" s="17"/>
      <c r="X120" s="17"/>
      <c r="Y120" s="17"/>
      <c r="Z120" s="17"/>
      <c r="AA120" s="17"/>
      <c r="AB120" s="17"/>
      <c r="AC120" s="17"/>
    </row>
    <row r="121" spans="1:29" ht="30.75" hidden="1" customHeight="1">
      <c r="A121" s="38" t="e">
        <f t="shared" si="3"/>
        <v>#REF!</v>
      </c>
      <c r="B121" s="38"/>
      <c r="C121" s="40"/>
      <c r="D121" s="40"/>
      <c r="E121" s="70"/>
      <c r="F121" s="38"/>
      <c r="G121" s="38"/>
      <c r="H121" s="38"/>
      <c r="I121" s="5"/>
      <c r="J121" s="5"/>
      <c r="K121" s="5"/>
      <c r="L121" s="38"/>
      <c r="M121" s="38"/>
      <c r="N121" s="38"/>
      <c r="O121" s="45"/>
      <c r="P121" s="52"/>
      <c r="Q121" s="52"/>
      <c r="R121" s="52"/>
      <c r="S121" s="52"/>
      <c r="T121" s="52"/>
      <c r="U121" s="17"/>
      <c r="V121" s="17"/>
      <c r="W121" s="17"/>
      <c r="X121" s="17"/>
      <c r="Y121" s="17"/>
      <c r="Z121" s="17"/>
      <c r="AA121" s="17"/>
      <c r="AB121" s="17"/>
      <c r="AC121" s="17"/>
    </row>
    <row r="122" spans="1:29" ht="30.75" hidden="1" customHeight="1">
      <c r="A122" s="38" t="e">
        <f t="shared" si="3"/>
        <v>#REF!</v>
      </c>
      <c r="B122" s="38"/>
      <c r="C122" s="40"/>
      <c r="D122" s="40"/>
      <c r="E122" s="70"/>
      <c r="F122" s="38"/>
      <c r="G122" s="38"/>
      <c r="H122" s="38"/>
      <c r="I122" s="5"/>
      <c r="J122" s="5"/>
      <c r="K122" s="5"/>
      <c r="L122" s="38"/>
      <c r="M122" s="38"/>
      <c r="N122" s="38"/>
      <c r="O122" s="45"/>
      <c r="P122" s="52"/>
      <c r="Q122" s="52"/>
      <c r="R122" s="52"/>
      <c r="S122" s="52"/>
      <c r="T122" s="52"/>
      <c r="U122" s="17"/>
      <c r="V122" s="17"/>
      <c r="W122" s="17"/>
      <c r="X122" s="17"/>
      <c r="Y122" s="17"/>
      <c r="Z122" s="17"/>
      <c r="AA122" s="17"/>
      <c r="AB122" s="17"/>
      <c r="AC122" s="17"/>
    </row>
    <row r="123" spans="1:29" ht="30.75" hidden="1" customHeight="1">
      <c r="A123" s="38" t="e">
        <f t="shared" si="3"/>
        <v>#REF!</v>
      </c>
      <c r="B123" s="38"/>
      <c r="C123" s="40"/>
      <c r="D123" s="40"/>
      <c r="E123" s="70"/>
      <c r="F123" s="38"/>
      <c r="G123" s="38"/>
      <c r="H123" s="38"/>
      <c r="I123" s="5"/>
      <c r="J123" s="5"/>
      <c r="K123" s="5"/>
      <c r="L123" s="38"/>
      <c r="M123" s="38"/>
      <c r="N123" s="38"/>
      <c r="O123" s="45"/>
      <c r="P123" s="52"/>
      <c r="Q123" s="52"/>
      <c r="R123" s="52"/>
      <c r="S123" s="52"/>
      <c r="T123" s="52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ht="30.75" hidden="1" customHeight="1">
      <c r="A124" s="38" t="e">
        <f t="shared" si="3"/>
        <v>#REF!</v>
      </c>
      <c r="B124" s="38"/>
      <c r="C124" s="40"/>
      <c r="D124" s="40"/>
      <c r="E124" s="70"/>
      <c r="F124" s="38"/>
      <c r="G124" s="38"/>
      <c r="H124" s="38"/>
      <c r="I124" s="5"/>
      <c r="J124" s="5"/>
      <c r="K124" s="5"/>
      <c r="L124" s="38"/>
      <c r="M124" s="38"/>
      <c r="N124" s="38"/>
      <c r="O124" s="45"/>
      <c r="P124" s="52"/>
      <c r="Q124" s="52"/>
      <c r="R124" s="52"/>
      <c r="S124" s="52"/>
      <c r="T124" s="52"/>
      <c r="U124" s="17"/>
      <c r="V124" s="17"/>
      <c r="W124" s="17"/>
      <c r="X124" s="17"/>
      <c r="Y124" s="17"/>
      <c r="Z124" s="17"/>
      <c r="AA124" s="17"/>
      <c r="AB124" s="17"/>
      <c r="AC124" s="17"/>
    </row>
    <row r="125" spans="1:29" ht="30.75" hidden="1" customHeight="1">
      <c r="A125" s="38" t="e">
        <f t="shared" si="3"/>
        <v>#REF!</v>
      </c>
      <c r="B125" s="38"/>
      <c r="C125" s="40"/>
      <c r="D125" s="40"/>
      <c r="E125" s="70"/>
      <c r="F125" s="38"/>
      <c r="G125" s="38"/>
      <c r="H125" s="38"/>
      <c r="I125" s="5"/>
      <c r="J125" s="5"/>
      <c r="K125" s="5"/>
      <c r="L125" s="38"/>
      <c r="M125" s="38"/>
      <c r="N125" s="38"/>
      <c r="O125" s="45"/>
      <c r="P125" s="52"/>
      <c r="Q125" s="52"/>
      <c r="R125" s="52"/>
      <c r="S125" s="52"/>
      <c r="T125" s="52"/>
      <c r="U125" s="17"/>
      <c r="V125" s="17"/>
      <c r="W125" s="17"/>
      <c r="X125" s="17"/>
      <c r="Y125" s="17"/>
      <c r="Z125" s="17"/>
      <c r="AA125" s="17"/>
      <c r="AB125" s="17"/>
      <c r="AC125" s="17"/>
    </row>
    <row r="126" spans="1:29" ht="30.75" hidden="1" customHeight="1">
      <c r="A126" s="38" t="e">
        <f t="shared" si="3"/>
        <v>#REF!</v>
      </c>
      <c r="B126" s="38"/>
      <c r="C126" s="40"/>
      <c r="D126" s="40"/>
      <c r="E126" s="70"/>
      <c r="F126" s="38"/>
      <c r="G126" s="38"/>
      <c r="H126" s="38"/>
      <c r="I126" s="5"/>
      <c r="J126" s="5"/>
      <c r="K126" s="5"/>
      <c r="L126" s="38"/>
      <c r="M126" s="38"/>
      <c r="N126" s="38"/>
      <c r="O126" s="45"/>
      <c r="P126" s="52"/>
      <c r="Q126" s="52"/>
      <c r="R126" s="52"/>
      <c r="S126" s="52"/>
      <c r="T126" s="52"/>
      <c r="U126" s="17"/>
      <c r="V126" s="17"/>
      <c r="W126" s="17"/>
      <c r="X126" s="17"/>
      <c r="Y126" s="17"/>
      <c r="Z126" s="17"/>
      <c r="AA126" s="17"/>
      <c r="AB126" s="17"/>
      <c r="AC126" s="17"/>
    </row>
    <row r="127" spans="1:29" ht="30.75" hidden="1" customHeight="1">
      <c r="A127" s="38" t="e">
        <f t="shared" si="3"/>
        <v>#REF!</v>
      </c>
      <c r="B127" s="38"/>
      <c r="C127" s="40"/>
      <c r="D127" s="40"/>
      <c r="E127" s="70"/>
      <c r="F127" s="38"/>
      <c r="G127" s="38"/>
      <c r="H127" s="38"/>
      <c r="I127" s="5"/>
      <c r="J127" s="5"/>
      <c r="K127" s="5"/>
      <c r="L127" s="38"/>
      <c r="M127" s="38"/>
      <c r="N127" s="38"/>
      <c r="O127" s="45"/>
      <c r="P127" s="52"/>
      <c r="Q127" s="52"/>
      <c r="R127" s="52"/>
      <c r="S127" s="52"/>
      <c r="T127" s="52"/>
      <c r="U127" s="17"/>
      <c r="V127" s="17"/>
      <c r="W127" s="17"/>
      <c r="X127" s="17"/>
      <c r="Y127" s="17"/>
      <c r="Z127" s="17"/>
      <c r="AA127" s="17"/>
      <c r="AB127" s="17"/>
      <c r="AC127" s="17"/>
    </row>
    <row r="128" spans="1:29" ht="30.75" hidden="1" customHeight="1">
      <c r="A128" s="38" t="e">
        <f t="shared" si="3"/>
        <v>#REF!</v>
      </c>
      <c r="B128" s="38"/>
      <c r="C128" s="40"/>
      <c r="D128" s="40"/>
      <c r="E128" s="70"/>
      <c r="F128" s="38"/>
      <c r="G128" s="38"/>
      <c r="H128" s="38"/>
      <c r="I128" s="5"/>
      <c r="J128" s="5"/>
      <c r="K128" s="5"/>
      <c r="L128" s="38"/>
      <c r="M128" s="38"/>
      <c r="N128" s="38"/>
      <c r="O128" s="45"/>
      <c r="P128" s="52"/>
      <c r="Q128" s="52"/>
      <c r="R128" s="52"/>
      <c r="S128" s="52"/>
      <c r="T128" s="52"/>
      <c r="U128" s="17"/>
      <c r="V128" s="17"/>
      <c r="W128" s="17"/>
      <c r="X128" s="17"/>
      <c r="Y128" s="17"/>
      <c r="Z128" s="17"/>
      <c r="AA128" s="17"/>
      <c r="AB128" s="17"/>
      <c r="AC128" s="17"/>
    </row>
    <row r="129" spans="1:29" ht="30.75" hidden="1" customHeight="1">
      <c r="A129" s="38" t="e">
        <f t="shared" si="3"/>
        <v>#REF!</v>
      </c>
      <c r="B129" s="38"/>
      <c r="C129" s="40"/>
      <c r="D129" s="40"/>
      <c r="E129" s="70"/>
      <c r="F129" s="38"/>
      <c r="G129" s="38"/>
      <c r="H129" s="38"/>
      <c r="I129" s="5"/>
      <c r="J129" s="5"/>
      <c r="K129" s="5"/>
      <c r="L129" s="38"/>
      <c r="M129" s="38"/>
      <c r="N129" s="38"/>
      <c r="O129" s="45"/>
      <c r="P129" s="52"/>
      <c r="Q129" s="52"/>
      <c r="R129" s="52"/>
      <c r="S129" s="52"/>
      <c r="T129" s="52"/>
      <c r="U129" s="17"/>
      <c r="V129" s="17"/>
      <c r="W129" s="17"/>
      <c r="X129" s="17"/>
      <c r="Y129" s="17"/>
      <c r="Z129" s="17"/>
      <c r="AA129" s="17"/>
      <c r="AB129" s="17"/>
      <c r="AC129" s="17"/>
    </row>
    <row r="130" spans="1:29" ht="30.75" hidden="1" customHeight="1">
      <c r="A130" s="38" t="e">
        <f t="shared" si="3"/>
        <v>#REF!</v>
      </c>
      <c r="B130" s="38"/>
      <c r="C130" s="40"/>
      <c r="D130" s="40"/>
      <c r="E130" s="70"/>
      <c r="F130" s="38"/>
      <c r="G130" s="38"/>
      <c r="H130" s="38"/>
      <c r="I130" s="5"/>
      <c r="J130" s="5"/>
      <c r="K130" s="5"/>
      <c r="L130" s="38"/>
      <c r="M130" s="38"/>
      <c r="N130" s="38"/>
      <c r="O130" s="45"/>
      <c r="P130" s="52"/>
      <c r="Q130" s="52"/>
      <c r="R130" s="52"/>
      <c r="S130" s="52"/>
      <c r="T130" s="52"/>
      <c r="U130" s="17"/>
      <c r="V130" s="17"/>
      <c r="W130" s="17"/>
      <c r="X130" s="17"/>
      <c r="Y130" s="17"/>
      <c r="Z130" s="17"/>
      <c r="AA130" s="17"/>
      <c r="AB130" s="17"/>
      <c r="AC130" s="17"/>
    </row>
    <row r="131" spans="1:29" ht="30.75" hidden="1" customHeight="1">
      <c r="A131" s="38" t="e">
        <f t="shared" si="3"/>
        <v>#REF!</v>
      </c>
      <c r="B131" s="38"/>
      <c r="C131" s="40"/>
      <c r="D131" s="40"/>
      <c r="E131" s="70"/>
      <c r="F131" s="38"/>
      <c r="G131" s="38"/>
      <c r="H131" s="38"/>
      <c r="I131" s="5"/>
      <c r="J131" s="5"/>
      <c r="K131" s="5"/>
      <c r="L131" s="38"/>
      <c r="M131" s="38"/>
      <c r="N131" s="38"/>
      <c r="O131" s="45"/>
      <c r="P131" s="52"/>
      <c r="Q131" s="52"/>
      <c r="R131" s="52"/>
      <c r="S131" s="52"/>
      <c r="T131" s="52"/>
      <c r="U131" s="17"/>
      <c r="V131" s="17"/>
      <c r="W131" s="17"/>
      <c r="X131" s="17"/>
      <c r="Y131" s="17"/>
      <c r="Z131" s="17"/>
      <c r="AA131" s="17"/>
      <c r="AB131" s="17"/>
      <c r="AC131" s="17"/>
    </row>
    <row r="132" spans="1:29" ht="30.75" hidden="1" customHeight="1">
      <c r="A132" s="38" t="e">
        <f t="shared" si="3"/>
        <v>#REF!</v>
      </c>
      <c r="B132" s="38"/>
      <c r="C132" s="40"/>
      <c r="D132" s="40"/>
      <c r="E132" s="70"/>
      <c r="F132" s="38"/>
      <c r="G132" s="38"/>
      <c r="H132" s="38"/>
      <c r="I132" s="5"/>
      <c r="J132" s="5"/>
      <c r="K132" s="5"/>
      <c r="L132" s="38"/>
      <c r="M132" s="38"/>
      <c r="N132" s="38"/>
      <c r="O132" s="45"/>
      <c r="P132" s="52"/>
      <c r="Q132" s="52"/>
      <c r="R132" s="52"/>
      <c r="S132" s="52"/>
      <c r="T132" s="52"/>
      <c r="U132" s="17"/>
      <c r="V132" s="17"/>
      <c r="W132" s="17"/>
      <c r="X132" s="17"/>
      <c r="Y132" s="17"/>
      <c r="Z132" s="17"/>
      <c r="AA132" s="17"/>
      <c r="AB132" s="17"/>
      <c r="AC132" s="17"/>
    </row>
    <row r="133" spans="1:29" ht="30.75" hidden="1" customHeight="1">
      <c r="A133" s="38" t="e">
        <f t="shared" si="3"/>
        <v>#REF!</v>
      </c>
      <c r="B133" s="38"/>
      <c r="C133" s="40"/>
      <c r="D133" s="40"/>
      <c r="E133" s="70"/>
      <c r="F133" s="38"/>
      <c r="G133" s="38"/>
      <c r="H133" s="38"/>
      <c r="I133" s="5"/>
      <c r="J133" s="5"/>
      <c r="K133" s="5"/>
      <c r="L133" s="38"/>
      <c r="M133" s="38"/>
      <c r="N133" s="38"/>
      <c r="O133" s="45"/>
      <c r="P133" s="52"/>
      <c r="Q133" s="52"/>
      <c r="R133" s="52"/>
      <c r="S133" s="52"/>
      <c r="T133" s="52"/>
      <c r="U133" s="17"/>
      <c r="V133" s="17"/>
      <c r="W133" s="17"/>
      <c r="X133" s="17"/>
      <c r="Y133" s="17"/>
      <c r="Z133" s="17"/>
      <c r="AA133" s="17"/>
      <c r="AB133" s="17"/>
      <c r="AC133" s="17"/>
    </row>
    <row r="134" spans="1:29" ht="30.75" hidden="1" customHeight="1">
      <c r="A134" s="38">
        <v>1</v>
      </c>
      <c r="B134" s="38"/>
      <c r="C134" s="40"/>
      <c r="D134" s="40"/>
      <c r="E134" s="70"/>
      <c r="F134" s="38"/>
      <c r="G134" s="38"/>
      <c r="H134" s="38"/>
      <c r="I134" s="5"/>
      <c r="J134" s="5"/>
      <c r="K134" s="5"/>
      <c r="L134" s="38"/>
      <c r="M134" s="38"/>
      <c r="N134" s="38"/>
      <c r="O134" s="45"/>
      <c r="P134" s="52"/>
      <c r="Q134" s="52"/>
      <c r="R134" s="52"/>
      <c r="S134" s="52"/>
      <c r="T134" s="52"/>
      <c r="U134" s="17"/>
      <c r="V134" s="17"/>
      <c r="W134" s="17"/>
      <c r="X134" s="17"/>
      <c r="Y134" s="17"/>
      <c r="Z134" s="17"/>
      <c r="AA134" s="17"/>
      <c r="AB134" s="17"/>
      <c r="AC134" s="17"/>
    </row>
    <row r="135" spans="1:29" ht="30.75" hidden="1" customHeight="1">
      <c r="A135" s="38">
        <f t="shared" ref="A135:A233" si="4">A134+1</f>
        <v>2</v>
      </c>
      <c r="B135" s="38"/>
      <c r="C135" s="40"/>
      <c r="D135" s="40"/>
      <c r="E135" s="70"/>
      <c r="F135" s="38"/>
      <c r="G135" s="38"/>
      <c r="H135" s="38"/>
      <c r="I135" s="5"/>
      <c r="J135" s="5"/>
      <c r="K135" s="5"/>
      <c r="L135" s="38"/>
      <c r="M135" s="38"/>
      <c r="N135" s="38"/>
      <c r="O135" s="45"/>
      <c r="P135" s="52"/>
      <c r="Q135" s="52"/>
      <c r="R135" s="52"/>
      <c r="S135" s="52"/>
      <c r="T135" s="52"/>
      <c r="U135" s="17"/>
      <c r="V135" s="17"/>
      <c r="W135" s="17"/>
      <c r="X135" s="17"/>
      <c r="Y135" s="17"/>
      <c r="Z135" s="17"/>
      <c r="AA135" s="17"/>
      <c r="AB135" s="17"/>
      <c r="AC135" s="17"/>
    </row>
    <row r="136" spans="1:29" ht="30.75" hidden="1" customHeight="1">
      <c r="A136" s="38">
        <f t="shared" si="4"/>
        <v>3</v>
      </c>
      <c r="B136" s="38">
        <v>2026</v>
      </c>
      <c r="C136" s="40">
        <v>3</v>
      </c>
      <c r="D136" s="40"/>
      <c r="E136" s="41" t="s">
        <v>1328</v>
      </c>
      <c r="F136" s="38"/>
      <c r="G136" s="38"/>
      <c r="H136" s="38"/>
      <c r="L136" s="38" t="s">
        <v>296</v>
      </c>
      <c r="M136" s="38" t="s">
        <v>150</v>
      </c>
      <c r="N136" s="38" t="s">
        <v>336</v>
      </c>
      <c r="O136" s="45" t="s">
        <v>304</v>
      </c>
      <c r="P136" s="52"/>
      <c r="Q136" s="52"/>
      <c r="R136" s="52"/>
      <c r="S136" s="52"/>
      <c r="T136" s="52"/>
      <c r="U136" s="17"/>
      <c r="V136" s="17"/>
      <c r="W136" s="17"/>
      <c r="X136" s="17"/>
      <c r="Y136" s="17"/>
      <c r="Z136" s="17"/>
      <c r="AA136" s="17"/>
      <c r="AB136" s="17"/>
      <c r="AC136" s="17"/>
    </row>
    <row r="137" spans="1:29" ht="30.75" hidden="1" customHeight="1">
      <c r="A137" s="38">
        <f t="shared" si="4"/>
        <v>4</v>
      </c>
      <c r="B137" s="38"/>
      <c r="C137" s="40"/>
      <c r="D137" s="40"/>
      <c r="E137" s="70"/>
      <c r="F137" s="38"/>
      <c r="G137" s="38"/>
      <c r="H137" s="38"/>
      <c r="I137" s="5"/>
      <c r="J137" s="5"/>
      <c r="K137" s="5"/>
      <c r="L137" s="38"/>
      <c r="M137" s="38"/>
      <c r="N137" s="38"/>
      <c r="O137" s="45"/>
      <c r="P137" s="52"/>
      <c r="Q137" s="52"/>
      <c r="R137" s="52"/>
      <c r="S137" s="52"/>
      <c r="T137" s="52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 ht="30.75" hidden="1" customHeight="1">
      <c r="A138" s="38">
        <f t="shared" si="4"/>
        <v>5</v>
      </c>
      <c r="B138" s="38"/>
      <c r="C138" s="40"/>
      <c r="D138" s="40"/>
      <c r="E138" s="70"/>
      <c r="F138" s="38"/>
      <c r="G138" s="38"/>
      <c r="H138" s="38"/>
      <c r="I138" s="5"/>
      <c r="J138" s="5"/>
      <c r="K138" s="5"/>
      <c r="L138" s="38"/>
      <c r="M138" s="38"/>
      <c r="N138" s="38"/>
      <c r="O138" s="45"/>
      <c r="P138" s="52"/>
      <c r="Q138" s="52"/>
      <c r="R138" s="52"/>
      <c r="S138" s="52"/>
      <c r="T138" s="52"/>
      <c r="U138" s="17"/>
      <c r="V138" s="17"/>
      <c r="W138" s="17"/>
      <c r="X138" s="17"/>
      <c r="Y138" s="17"/>
      <c r="Z138" s="17"/>
      <c r="AA138" s="17"/>
      <c r="AB138" s="17"/>
      <c r="AC138" s="17"/>
    </row>
    <row r="139" spans="1:29" ht="30.75" hidden="1" customHeight="1">
      <c r="A139" s="38">
        <f t="shared" si="4"/>
        <v>6</v>
      </c>
      <c r="B139" s="38"/>
      <c r="C139" s="40"/>
      <c r="D139" s="40"/>
      <c r="E139" s="70"/>
      <c r="F139" s="38"/>
      <c r="G139" s="38"/>
      <c r="H139" s="38"/>
      <c r="I139" s="5"/>
      <c r="J139" s="5"/>
      <c r="K139" s="5"/>
      <c r="L139" s="38"/>
      <c r="M139" s="38"/>
      <c r="N139" s="38"/>
      <c r="O139" s="45"/>
      <c r="P139" s="52"/>
      <c r="Q139" s="52"/>
      <c r="R139" s="52"/>
      <c r="S139" s="52"/>
      <c r="T139" s="52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ht="30.75" hidden="1" customHeight="1">
      <c r="A140" s="38">
        <f t="shared" si="4"/>
        <v>7</v>
      </c>
      <c r="B140" s="38"/>
      <c r="C140" s="40"/>
      <c r="D140" s="40"/>
      <c r="E140" s="70"/>
      <c r="F140" s="38"/>
      <c r="G140" s="38"/>
      <c r="H140" s="38"/>
      <c r="I140" s="5"/>
      <c r="J140" s="5"/>
      <c r="K140" s="5"/>
      <c r="L140" s="38"/>
      <c r="M140" s="38"/>
      <c r="N140" s="38"/>
      <c r="O140" s="45"/>
      <c r="P140" s="52"/>
      <c r="Q140" s="52"/>
      <c r="R140" s="52"/>
      <c r="S140" s="52"/>
      <c r="T140" s="52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ht="30.75" hidden="1" customHeight="1">
      <c r="A141" s="38">
        <f t="shared" si="4"/>
        <v>8</v>
      </c>
      <c r="B141" s="38"/>
      <c r="C141" s="40"/>
      <c r="D141" s="40"/>
      <c r="E141" s="176"/>
      <c r="F141" s="38"/>
      <c r="G141" s="38"/>
      <c r="H141" s="38"/>
      <c r="I141" s="5"/>
      <c r="J141" s="5"/>
      <c r="K141" s="5"/>
      <c r="L141" s="38"/>
      <c r="M141" s="38"/>
      <c r="N141" s="38"/>
      <c r="O141" s="45"/>
      <c r="P141" s="52"/>
      <c r="Q141" s="52"/>
      <c r="R141" s="52"/>
      <c r="S141" s="52"/>
      <c r="T141" s="52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ht="30.75" hidden="1" customHeight="1">
      <c r="A142" s="38">
        <f t="shared" si="4"/>
        <v>9</v>
      </c>
      <c r="B142" s="38"/>
      <c r="C142" s="40"/>
      <c r="D142" s="40"/>
      <c r="E142" s="176"/>
      <c r="F142" s="38"/>
      <c r="G142" s="38"/>
      <c r="H142" s="38"/>
      <c r="I142" s="5"/>
      <c r="J142" s="5"/>
      <c r="K142" s="5"/>
      <c r="L142" s="38"/>
      <c r="M142" s="38"/>
      <c r="N142" s="38"/>
      <c r="O142" s="45"/>
      <c r="P142" s="52"/>
      <c r="Q142" s="52"/>
      <c r="R142" s="52"/>
      <c r="S142" s="52"/>
      <c r="T142" s="52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ht="30.75" hidden="1" customHeight="1">
      <c r="A143" s="38">
        <f t="shared" si="4"/>
        <v>10</v>
      </c>
      <c r="B143" s="38"/>
      <c r="C143" s="40"/>
      <c r="D143" s="40"/>
      <c r="E143" s="176"/>
      <c r="F143" s="38"/>
      <c r="G143" s="38"/>
      <c r="H143" s="38"/>
      <c r="I143" s="5"/>
      <c r="J143" s="5"/>
      <c r="K143" s="5"/>
      <c r="L143" s="38"/>
      <c r="M143" s="38"/>
      <c r="N143" s="38"/>
      <c r="O143" s="45"/>
      <c r="P143" s="52"/>
      <c r="Q143" s="52"/>
      <c r="R143" s="52"/>
      <c r="S143" s="52"/>
      <c r="T143" s="52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ht="30.75" hidden="1" customHeight="1">
      <c r="A144" s="38">
        <f t="shared" si="4"/>
        <v>11</v>
      </c>
      <c r="B144" s="38"/>
      <c r="C144" s="40"/>
      <c r="D144" s="40"/>
      <c r="E144" s="176"/>
      <c r="F144" s="38"/>
      <c r="G144" s="38"/>
      <c r="H144" s="38"/>
      <c r="I144" s="5"/>
      <c r="J144" s="5"/>
      <c r="K144" s="5"/>
      <c r="L144" s="38"/>
      <c r="M144" s="38"/>
      <c r="N144" s="38"/>
      <c r="O144" s="45"/>
      <c r="P144" s="52"/>
      <c r="Q144" s="52"/>
      <c r="R144" s="52"/>
      <c r="S144" s="52"/>
      <c r="T144" s="52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ht="30.75" hidden="1" customHeight="1">
      <c r="A145" s="38">
        <f t="shared" si="4"/>
        <v>12</v>
      </c>
      <c r="B145" s="38"/>
      <c r="C145" s="40"/>
      <c r="D145" s="40"/>
      <c r="E145" s="176"/>
      <c r="F145" s="38"/>
      <c r="G145" s="38"/>
      <c r="H145" s="38"/>
      <c r="I145" s="5"/>
      <c r="J145" s="5"/>
      <c r="K145" s="5"/>
      <c r="L145" s="38"/>
      <c r="M145" s="38"/>
      <c r="N145" s="38"/>
      <c r="O145" s="45"/>
      <c r="P145" s="52"/>
      <c r="Q145" s="52"/>
      <c r="R145" s="52"/>
      <c r="S145" s="52"/>
      <c r="T145" s="52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ht="30.75" hidden="1" customHeight="1">
      <c r="A146" s="38">
        <f t="shared" si="4"/>
        <v>13</v>
      </c>
      <c r="B146" s="38"/>
      <c r="C146" s="40"/>
      <c r="D146" s="40"/>
      <c r="E146" s="176"/>
      <c r="F146" s="38"/>
      <c r="G146" s="38"/>
      <c r="H146" s="38"/>
      <c r="I146" s="5"/>
      <c r="J146" s="5"/>
      <c r="K146" s="5"/>
      <c r="L146" s="38"/>
      <c r="M146" s="38"/>
      <c r="N146" s="38"/>
      <c r="O146" s="45"/>
      <c r="P146" s="52"/>
      <c r="Q146" s="52"/>
      <c r="R146" s="52"/>
      <c r="S146" s="52"/>
      <c r="T146" s="52"/>
      <c r="U146" s="17"/>
      <c r="V146" s="17"/>
      <c r="W146" s="17"/>
      <c r="X146" s="17"/>
      <c r="Y146" s="17"/>
      <c r="Z146" s="17"/>
      <c r="AA146" s="17"/>
      <c r="AB146" s="17"/>
      <c r="AC146" s="17"/>
    </row>
    <row r="147" spans="1:29" ht="30.75" hidden="1" customHeight="1">
      <c r="A147" s="38">
        <f t="shared" si="4"/>
        <v>14</v>
      </c>
      <c r="B147" s="38"/>
      <c r="C147" s="40"/>
      <c r="D147" s="40"/>
      <c r="E147" s="176"/>
      <c r="F147" s="38"/>
      <c r="G147" s="38"/>
      <c r="H147" s="38"/>
      <c r="I147" s="5"/>
      <c r="J147" s="5"/>
      <c r="K147" s="5"/>
      <c r="L147" s="38"/>
      <c r="M147" s="38"/>
      <c r="N147" s="38"/>
      <c r="O147" s="45"/>
      <c r="P147" s="52"/>
      <c r="Q147" s="52"/>
      <c r="R147" s="52"/>
      <c r="S147" s="52"/>
      <c r="T147" s="52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ht="30.75" hidden="1" customHeight="1">
      <c r="A148" s="38">
        <f t="shared" si="4"/>
        <v>15</v>
      </c>
      <c r="B148" s="38"/>
      <c r="C148" s="40"/>
      <c r="D148" s="40"/>
      <c r="E148" s="176"/>
      <c r="F148" s="38"/>
      <c r="G148" s="38"/>
      <c r="H148" s="38"/>
      <c r="I148" s="5"/>
      <c r="J148" s="5"/>
      <c r="K148" s="5"/>
      <c r="L148" s="38"/>
      <c r="M148" s="38"/>
      <c r="N148" s="38"/>
      <c r="O148" s="45"/>
      <c r="P148" s="52"/>
      <c r="Q148" s="52"/>
      <c r="R148" s="52"/>
      <c r="S148" s="52"/>
      <c r="T148" s="52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ht="30.75" hidden="1" customHeight="1">
      <c r="A149" s="38">
        <f t="shared" si="4"/>
        <v>16</v>
      </c>
      <c r="B149" s="38"/>
      <c r="C149" s="40"/>
      <c r="D149" s="40"/>
      <c r="E149" s="176"/>
      <c r="F149" s="38"/>
      <c r="G149" s="38"/>
      <c r="H149" s="38"/>
      <c r="I149" s="5"/>
      <c r="J149" s="5"/>
      <c r="K149" s="5"/>
      <c r="L149" s="38"/>
      <c r="M149" s="38"/>
      <c r="N149" s="38"/>
      <c r="O149" s="45"/>
      <c r="P149" s="52"/>
      <c r="Q149" s="52"/>
      <c r="R149" s="52"/>
      <c r="S149" s="52"/>
      <c r="T149" s="52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ht="30.75" hidden="1" customHeight="1">
      <c r="A150" s="38">
        <f t="shared" si="4"/>
        <v>17</v>
      </c>
      <c r="B150" s="38"/>
      <c r="C150" s="40"/>
      <c r="D150" s="40"/>
      <c r="E150" s="176"/>
      <c r="F150" s="38"/>
      <c r="G150" s="38"/>
      <c r="H150" s="38"/>
      <c r="I150" s="5"/>
      <c r="J150" s="5"/>
      <c r="K150" s="5"/>
      <c r="L150" s="38"/>
      <c r="M150" s="38"/>
      <c r="N150" s="38"/>
      <c r="O150" s="45"/>
      <c r="P150" s="52"/>
      <c r="Q150" s="52"/>
      <c r="R150" s="52"/>
      <c r="S150" s="52"/>
      <c r="T150" s="52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ht="30.75" hidden="1" customHeight="1">
      <c r="A151" s="38">
        <f t="shared" si="4"/>
        <v>18</v>
      </c>
      <c r="B151" s="38"/>
      <c r="C151" s="40"/>
      <c r="D151" s="40"/>
      <c r="E151" s="176"/>
      <c r="F151" s="38"/>
      <c r="G151" s="38"/>
      <c r="H151" s="38"/>
      <c r="I151" s="5"/>
      <c r="J151" s="5"/>
      <c r="K151" s="5"/>
      <c r="L151" s="38"/>
      <c r="M151" s="38"/>
      <c r="N151" s="38"/>
      <c r="O151" s="45"/>
      <c r="P151" s="52"/>
      <c r="Q151" s="52"/>
      <c r="R151" s="52"/>
      <c r="S151" s="52"/>
      <c r="T151" s="52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ht="30.75" hidden="1" customHeight="1">
      <c r="A152" s="38">
        <f t="shared" si="4"/>
        <v>19</v>
      </c>
      <c r="B152" s="38"/>
      <c r="C152" s="40"/>
      <c r="D152" s="40"/>
      <c r="E152" s="176"/>
      <c r="F152" s="38"/>
      <c r="G152" s="38"/>
      <c r="H152" s="38"/>
      <c r="I152" s="5"/>
      <c r="J152" s="5"/>
      <c r="K152" s="5"/>
      <c r="L152" s="38"/>
      <c r="M152" s="38"/>
      <c r="N152" s="38"/>
      <c r="O152" s="45"/>
      <c r="P152" s="52"/>
      <c r="Q152" s="52"/>
      <c r="R152" s="52"/>
      <c r="S152" s="52"/>
      <c r="T152" s="52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ht="30.75" hidden="1" customHeight="1">
      <c r="A153" s="38">
        <f t="shared" si="4"/>
        <v>20</v>
      </c>
      <c r="B153" s="38"/>
      <c r="C153" s="40"/>
      <c r="D153" s="40"/>
      <c r="E153" s="176"/>
      <c r="F153" s="38"/>
      <c r="G153" s="38"/>
      <c r="H153" s="38"/>
      <c r="I153" s="5"/>
      <c r="J153" s="5"/>
      <c r="K153" s="5"/>
      <c r="L153" s="38"/>
      <c r="M153" s="38"/>
      <c r="N153" s="38"/>
      <c r="O153" s="45"/>
      <c r="P153" s="52"/>
      <c r="Q153" s="52"/>
      <c r="R153" s="52"/>
      <c r="S153" s="52"/>
      <c r="T153" s="52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ht="30.75" hidden="1" customHeight="1">
      <c r="A154" s="38">
        <f t="shared" si="4"/>
        <v>21</v>
      </c>
      <c r="B154" s="38"/>
      <c r="C154" s="40"/>
      <c r="D154" s="40"/>
      <c r="E154" s="176"/>
      <c r="F154" s="38"/>
      <c r="G154" s="38"/>
      <c r="H154" s="38"/>
      <c r="I154" s="5"/>
      <c r="J154" s="5"/>
      <c r="K154" s="5"/>
      <c r="L154" s="38"/>
      <c r="M154" s="38"/>
      <c r="N154" s="38"/>
      <c r="O154" s="45"/>
      <c r="P154" s="52"/>
      <c r="Q154" s="52"/>
      <c r="R154" s="52"/>
      <c r="S154" s="52"/>
      <c r="T154" s="52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ht="30.75" hidden="1" customHeight="1">
      <c r="A155" s="38">
        <f t="shared" si="4"/>
        <v>22</v>
      </c>
      <c r="B155" s="38"/>
      <c r="C155" s="40"/>
      <c r="D155" s="40"/>
      <c r="E155" s="176"/>
      <c r="F155" s="38"/>
      <c r="G155" s="38"/>
      <c r="H155" s="38"/>
      <c r="I155" s="5"/>
      <c r="J155" s="5"/>
      <c r="K155" s="5"/>
      <c r="L155" s="38"/>
      <c r="M155" s="38"/>
      <c r="N155" s="38"/>
      <c r="O155" s="45"/>
      <c r="P155" s="52"/>
      <c r="Q155" s="52"/>
      <c r="R155" s="52"/>
      <c r="S155" s="52"/>
      <c r="T155" s="52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ht="30.75" hidden="1" customHeight="1">
      <c r="A156" s="38">
        <f t="shared" si="4"/>
        <v>23</v>
      </c>
      <c r="B156" s="38"/>
      <c r="C156" s="40"/>
      <c r="D156" s="40"/>
      <c r="E156" s="176"/>
      <c r="F156" s="38"/>
      <c r="G156" s="38"/>
      <c r="H156" s="38"/>
      <c r="I156" s="5"/>
      <c r="J156" s="5"/>
      <c r="K156" s="5"/>
      <c r="L156" s="38"/>
      <c r="M156" s="38"/>
      <c r="N156" s="38"/>
      <c r="O156" s="45"/>
      <c r="P156" s="52"/>
      <c r="Q156" s="52"/>
      <c r="R156" s="52"/>
      <c r="S156" s="52"/>
      <c r="T156" s="52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ht="30.75" hidden="1" customHeight="1">
      <c r="A157" s="38">
        <f t="shared" si="4"/>
        <v>24</v>
      </c>
      <c r="B157" s="38"/>
      <c r="C157" s="40"/>
      <c r="D157" s="40"/>
      <c r="E157" s="176"/>
      <c r="F157" s="38"/>
      <c r="G157" s="38"/>
      <c r="H157" s="38"/>
      <c r="I157" s="5"/>
      <c r="J157" s="5"/>
      <c r="K157" s="5"/>
      <c r="L157" s="38"/>
      <c r="M157" s="38"/>
      <c r="N157" s="38"/>
      <c r="O157" s="45"/>
      <c r="P157" s="52"/>
      <c r="Q157" s="52"/>
      <c r="R157" s="52"/>
      <c r="S157" s="52"/>
      <c r="T157" s="52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ht="30.75" hidden="1" customHeight="1">
      <c r="A158" s="38">
        <f t="shared" si="4"/>
        <v>25</v>
      </c>
      <c r="B158" s="38"/>
      <c r="C158" s="40"/>
      <c r="D158" s="40"/>
      <c r="E158" s="176"/>
      <c r="F158" s="38"/>
      <c r="G158" s="38"/>
      <c r="H158" s="38"/>
      <c r="I158" s="5"/>
      <c r="J158" s="5"/>
      <c r="K158" s="5"/>
      <c r="L158" s="38"/>
      <c r="M158" s="38"/>
      <c r="N158" s="38"/>
      <c r="O158" s="45"/>
      <c r="P158" s="52"/>
      <c r="Q158" s="52"/>
      <c r="R158" s="52"/>
      <c r="S158" s="52"/>
      <c r="T158" s="52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ht="30.75" hidden="1" customHeight="1">
      <c r="A159" s="38">
        <f t="shared" si="4"/>
        <v>26</v>
      </c>
      <c r="B159" s="38"/>
      <c r="C159" s="40"/>
      <c r="D159" s="40"/>
      <c r="E159" s="176"/>
      <c r="F159" s="38"/>
      <c r="G159" s="38"/>
      <c r="H159" s="38"/>
      <c r="I159" s="5"/>
      <c r="J159" s="5"/>
      <c r="K159" s="5"/>
      <c r="L159" s="38"/>
      <c r="M159" s="38"/>
      <c r="N159" s="38"/>
      <c r="O159" s="45"/>
      <c r="P159" s="52"/>
      <c r="Q159" s="52"/>
      <c r="R159" s="52"/>
      <c r="S159" s="52"/>
      <c r="T159" s="52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ht="30.75" hidden="1" customHeight="1">
      <c r="A160" s="38">
        <f t="shared" si="4"/>
        <v>27</v>
      </c>
      <c r="B160" s="38"/>
      <c r="C160" s="40"/>
      <c r="D160" s="40"/>
      <c r="E160" s="176"/>
      <c r="F160" s="38"/>
      <c r="G160" s="38"/>
      <c r="H160" s="38"/>
      <c r="I160" s="5"/>
      <c r="J160" s="5"/>
      <c r="K160" s="5"/>
      <c r="L160" s="38"/>
      <c r="M160" s="38"/>
      <c r="N160" s="38"/>
      <c r="O160" s="45"/>
      <c r="P160" s="52"/>
      <c r="Q160" s="52"/>
      <c r="R160" s="52"/>
      <c r="S160" s="52"/>
      <c r="T160" s="52"/>
      <c r="U160" s="17"/>
      <c r="V160" s="17"/>
      <c r="W160" s="17"/>
      <c r="X160" s="17"/>
      <c r="Y160" s="17"/>
      <c r="Z160" s="17"/>
      <c r="AA160" s="17"/>
      <c r="AB160" s="17"/>
      <c r="AC160" s="17"/>
    </row>
    <row r="161" spans="1:29" ht="30.75" hidden="1" customHeight="1">
      <c r="A161" s="38">
        <f t="shared" si="4"/>
        <v>28</v>
      </c>
      <c r="B161" s="38"/>
      <c r="C161" s="40"/>
      <c r="D161" s="40"/>
      <c r="E161" s="176"/>
      <c r="F161" s="38"/>
      <c r="G161" s="38"/>
      <c r="H161" s="38"/>
      <c r="I161" s="5"/>
      <c r="J161" s="5"/>
      <c r="K161" s="5"/>
      <c r="L161" s="38"/>
      <c r="M161" s="38"/>
      <c r="N161" s="38"/>
      <c r="O161" s="45"/>
      <c r="P161" s="52"/>
      <c r="Q161" s="52"/>
      <c r="R161" s="52"/>
      <c r="S161" s="52"/>
      <c r="T161" s="52"/>
      <c r="U161" s="17"/>
      <c r="V161" s="17"/>
      <c r="W161" s="17"/>
      <c r="X161" s="17"/>
      <c r="Y161" s="17"/>
      <c r="Z161" s="17"/>
      <c r="AA161" s="17"/>
      <c r="AB161" s="17"/>
      <c r="AC161" s="17"/>
    </row>
    <row r="162" spans="1:29" ht="30.75" hidden="1" customHeight="1">
      <c r="A162" s="38">
        <f t="shared" si="4"/>
        <v>29</v>
      </c>
      <c r="B162" s="38"/>
      <c r="C162" s="40"/>
      <c r="D162" s="40"/>
      <c r="E162" s="176"/>
      <c r="F162" s="38"/>
      <c r="G162" s="38"/>
      <c r="H162" s="38"/>
      <c r="I162" s="5"/>
      <c r="J162" s="5"/>
      <c r="K162" s="5"/>
      <c r="L162" s="38"/>
      <c r="M162" s="38"/>
      <c r="N162" s="38"/>
      <c r="O162" s="45"/>
      <c r="P162" s="52"/>
      <c r="Q162" s="52"/>
      <c r="R162" s="52"/>
      <c r="S162" s="52"/>
      <c r="T162" s="52"/>
      <c r="U162" s="17"/>
      <c r="V162" s="17"/>
      <c r="W162" s="17"/>
      <c r="X162" s="17"/>
      <c r="Y162" s="17"/>
      <c r="Z162" s="17"/>
      <c r="AA162" s="17"/>
      <c r="AB162" s="17"/>
      <c r="AC162" s="17"/>
    </row>
    <row r="163" spans="1:29" ht="30.75" hidden="1" customHeight="1">
      <c r="A163" s="38">
        <f t="shared" si="4"/>
        <v>30</v>
      </c>
      <c r="B163" s="38"/>
      <c r="C163" s="40"/>
      <c r="D163" s="40"/>
      <c r="E163" s="176"/>
      <c r="F163" s="38"/>
      <c r="G163" s="38"/>
      <c r="H163" s="38"/>
      <c r="I163" s="5"/>
      <c r="J163" s="5"/>
      <c r="K163" s="5"/>
      <c r="L163" s="38"/>
      <c r="M163" s="38"/>
      <c r="N163" s="38"/>
      <c r="O163" s="45"/>
      <c r="P163" s="52"/>
      <c r="Q163" s="52"/>
      <c r="R163" s="52"/>
      <c r="S163" s="52"/>
      <c r="T163" s="52"/>
      <c r="U163" s="17"/>
      <c r="V163" s="17"/>
      <c r="W163" s="17"/>
      <c r="X163" s="17"/>
      <c r="Y163" s="17"/>
      <c r="Z163" s="17"/>
      <c r="AA163" s="17"/>
      <c r="AB163" s="17"/>
      <c r="AC163" s="17"/>
    </row>
    <row r="164" spans="1:29" ht="30.75" hidden="1" customHeight="1">
      <c r="A164" s="38">
        <f t="shared" si="4"/>
        <v>31</v>
      </c>
      <c r="B164" s="38"/>
      <c r="C164" s="40"/>
      <c r="D164" s="40"/>
      <c r="E164" s="176"/>
      <c r="F164" s="38"/>
      <c r="G164" s="38"/>
      <c r="H164" s="38"/>
      <c r="I164" s="5"/>
      <c r="J164" s="5"/>
      <c r="K164" s="5"/>
      <c r="L164" s="38"/>
      <c r="M164" s="38"/>
      <c r="N164" s="38"/>
      <c r="O164" s="45"/>
      <c r="P164" s="52"/>
      <c r="Q164" s="52"/>
      <c r="R164" s="52"/>
      <c r="S164" s="52"/>
      <c r="T164" s="52"/>
      <c r="U164" s="17"/>
      <c r="V164" s="17"/>
      <c r="W164" s="17"/>
      <c r="X164" s="17"/>
      <c r="Y164" s="17"/>
      <c r="Z164" s="17"/>
      <c r="AA164" s="17"/>
      <c r="AB164" s="17"/>
      <c r="AC164" s="17"/>
    </row>
    <row r="165" spans="1:29" ht="30.75" hidden="1" customHeight="1">
      <c r="A165" s="38">
        <f t="shared" si="4"/>
        <v>32</v>
      </c>
      <c r="B165" s="38"/>
      <c r="C165" s="40"/>
      <c r="D165" s="40"/>
      <c r="E165" s="176"/>
      <c r="F165" s="38"/>
      <c r="G165" s="38"/>
      <c r="H165" s="38"/>
      <c r="I165" s="5"/>
      <c r="J165" s="5"/>
      <c r="K165" s="5"/>
      <c r="L165" s="38"/>
      <c r="M165" s="38"/>
      <c r="N165" s="38"/>
      <c r="O165" s="45"/>
      <c r="P165" s="52"/>
      <c r="Q165" s="52"/>
      <c r="R165" s="52"/>
      <c r="S165" s="52"/>
      <c r="T165" s="52"/>
      <c r="U165" s="17"/>
      <c r="V165" s="17"/>
      <c r="W165" s="17"/>
      <c r="X165" s="17"/>
      <c r="Y165" s="17"/>
      <c r="Z165" s="17"/>
      <c r="AA165" s="17"/>
      <c r="AB165" s="17"/>
      <c r="AC165" s="17"/>
    </row>
    <row r="166" spans="1:29" ht="30.75" hidden="1" customHeight="1">
      <c r="A166" s="38">
        <f t="shared" si="4"/>
        <v>33</v>
      </c>
      <c r="B166" s="38"/>
      <c r="C166" s="40"/>
      <c r="D166" s="40"/>
      <c r="E166" s="176"/>
      <c r="F166" s="38"/>
      <c r="G166" s="38"/>
      <c r="H166" s="38"/>
      <c r="I166" s="5"/>
      <c r="J166" s="5"/>
      <c r="K166" s="5"/>
      <c r="L166" s="38"/>
      <c r="M166" s="38"/>
      <c r="N166" s="38"/>
      <c r="O166" s="45"/>
      <c r="P166" s="52"/>
      <c r="Q166" s="52"/>
      <c r="R166" s="52"/>
      <c r="S166" s="52"/>
      <c r="T166" s="52"/>
      <c r="U166" s="17"/>
      <c r="V166" s="17"/>
      <c r="W166" s="17"/>
      <c r="X166" s="17"/>
      <c r="Y166" s="17"/>
      <c r="Z166" s="17"/>
      <c r="AA166" s="17"/>
      <c r="AB166" s="17"/>
      <c r="AC166" s="17"/>
    </row>
    <row r="167" spans="1:29" ht="30.75" hidden="1" customHeight="1">
      <c r="A167" s="38">
        <f t="shared" si="4"/>
        <v>34</v>
      </c>
      <c r="B167" s="38"/>
      <c r="C167" s="40"/>
      <c r="D167" s="40"/>
      <c r="E167" s="176"/>
      <c r="F167" s="38"/>
      <c r="G167" s="38"/>
      <c r="H167" s="38"/>
      <c r="I167" s="5"/>
      <c r="J167" s="5"/>
      <c r="K167" s="5"/>
      <c r="L167" s="38"/>
      <c r="M167" s="38"/>
      <c r="N167" s="38"/>
      <c r="O167" s="45"/>
      <c r="P167" s="52"/>
      <c r="Q167" s="52"/>
      <c r="R167" s="52"/>
      <c r="S167" s="52"/>
      <c r="T167" s="52"/>
      <c r="U167" s="17"/>
      <c r="V167" s="17"/>
      <c r="W167" s="17"/>
      <c r="X167" s="17"/>
      <c r="Y167" s="17"/>
      <c r="Z167" s="17"/>
      <c r="AA167" s="17"/>
      <c r="AB167" s="17"/>
      <c r="AC167" s="17"/>
    </row>
    <row r="168" spans="1:29" ht="30.75" hidden="1" customHeight="1">
      <c r="A168" s="38">
        <f t="shared" si="4"/>
        <v>35</v>
      </c>
      <c r="B168" s="38"/>
      <c r="C168" s="40"/>
      <c r="D168" s="40"/>
      <c r="E168" s="176"/>
      <c r="F168" s="38"/>
      <c r="G168" s="38"/>
      <c r="H168" s="38"/>
      <c r="I168" s="5"/>
      <c r="J168" s="5"/>
      <c r="K168" s="5"/>
      <c r="L168" s="38"/>
      <c r="M168" s="38"/>
      <c r="N168" s="38"/>
      <c r="O168" s="45"/>
      <c r="P168" s="52"/>
      <c r="Q168" s="52"/>
      <c r="R168" s="52"/>
      <c r="S168" s="52"/>
      <c r="T168" s="52"/>
      <c r="U168" s="17"/>
      <c r="V168" s="17"/>
      <c r="W168" s="17"/>
      <c r="X168" s="17"/>
      <c r="Y168" s="17"/>
      <c r="Z168" s="17"/>
      <c r="AA168" s="17"/>
      <c r="AB168" s="17"/>
      <c r="AC168" s="17"/>
    </row>
    <row r="169" spans="1:29" ht="30.75" hidden="1" customHeight="1">
      <c r="A169" s="38">
        <f t="shared" si="4"/>
        <v>36</v>
      </c>
      <c r="B169" s="38"/>
      <c r="C169" s="40"/>
      <c r="D169" s="40"/>
      <c r="E169" s="176"/>
      <c r="F169" s="38"/>
      <c r="G169" s="38"/>
      <c r="H169" s="38"/>
      <c r="I169" s="5"/>
      <c r="J169" s="5"/>
      <c r="K169" s="5"/>
      <c r="L169" s="38"/>
      <c r="M169" s="38"/>
      <c r="N169" s="38"/>
      <c r="O169" s="45"/>
      <c r="P169" s="52"/>
      <c r="Q169" s="52"/>
      <c r="R169" s="52"/>
      <c r="S169" s="52"/>
      <c r="T169" s="52"/>
      <c r="U169" s="17"/>
      <c r="V169" s="17"/>
      <c r="W169" s="17"/>
      <c r="X169" s="17"/>
      <c r="Y169" s="17"/>
      <c r="Z169" s="17"/>
      <c r="AA169" s="17"/>
      <c r="AB169" s="17"/>
      <c r="AC169" s="17"/>
    </row>
    <row r="170" spans="1:29" ht="30.75" hidden="1" customHeight="1">
      <c r="A170" s="38">
        <f t="shared" si="4"/>
        <v>37</v>
      </c>
      <c r="B170" s="38"/>
      <c r="C170" s="40"/>
      <c r="D170" s="40"/>
      <c r="E170" s="176"/>
      <c r="F170" s="38"/>
      <c r="G170" s="38"/>
      <c r="H170" s="38"/>
      <c r="I170" s="5"/>
      <c r="J170" s="5"/>
      <c r="K170" s="5"/>
      <c r="L170" s="38"/>
      <c r="M170" s="38"/>
      <c r="N170" s="38"/>
      <c r="O170" s="45"/>
      <c r="P170" s="52"/>
      <c r="Q170" s="52"/>
      <c r="R170" s="52"/>
      <c r="S170" s="52"/>
      <c r="T170" s="52"/>
      <c r="U170" s="17"/>
      <c r="V170" s="17"/>
      <c r="W170" s="17"/>
      <c r="X170" s="17"/>
      <c r="Y170" s="17"/>
      <c r="Z170" s="17"/>
      <c r="AA170" s="17"/>
      <c r="AB170" s="17"/>
      <c r="AC170" s="17"/>
    </row>
    <row r="171" spans="1:29" ht="30.75" hidden="1" customHeight="1">
      <c r="A171" s="38">
        <f t="shared" si="4"/>
        <v>38</v>
      </c>
      <c r="B171" s="38"/>
      <c r="C171" s="40"/>
      <c r="D171" s="40"/>
      <c r="E171" s="176"/>
      <c r="F171" s="38"/>
      <c r="G171" s="38"/>
      <c r="H171" s="38"/>
      <c r="I171" s="5"/>
      <c r="J171" s="5"/>
      <c r="K171" s="5"/>
      <c r="L171" s="38"/>
      <c r="M171" s="38"/>
      <c r="N171" s="38"/>
      <c r="O171" s="45"/>
      <c r="P171" s="52"/>
      <c r="Q171" s="52"/>
      <c r="R171" s="52"/>
      <c r="S171" s="52"/>
      <c r="T171" s="52"/>
      <c r="U171" s="17"/>
      <c r="V171" s="17"/>
      <c r="W171" s="17"/>
      <c r="X171" s="17"/>
      <c r="Y171" s="17"/>
      <c r="Z171" s="17"/>
      <c r="AA171" s="17"/>
      <c r="AB171" s="17"/>
      <c r="AC171" s="17"/>
    </row>
    <row r="172" spans="1:29" ht="30.75" hidden="1" customHeight="1">
      <c r="A172" s="38">
        <f t="shared" si="4"/>
        <v>39</v>
      </c>
      <c r="B172" s="38"/>
      <c r="C172" s="40"/>
      <c r="D172" s="40"/>
      <c r="E172" s="176"/>
      <c r="F172" s="38"/>
      <c r="G172" s="38"/>
      <c r="H172" s="38"/>
      <c r="I172" s="5"/>
      <c r="J172" s="5"/>
      <c r="K172" s="5"/>
      <c r="L172" s="38"/>
      <c r="M172" s="38"/>
      <c r="N172" s="38"/>
      <c r="O172" s="45"/>
      <c r="P172" s="52"/>
      <c r="Q172" s="52"/>
      <c r="R172" s="52"/>
      <c r="S172" s="52"/>
      <c r="T172" s="52"/>
      <c r="U172" s="17"/>
      <c r="V172" s="17"/>
      <c r="W172" s="17"/>
      <c r="X172" s="17"/>
      <c r="Y172" s="17"/>
      <c r="Z172" s="17"/>
      <c r="AA172" s="17"/>
      <c r="AB172" s="17"/>
      <c r="AC172" s="17"/>
    </row>
    <row r="173" spans="1:29" ht="30.75" hidden="1" customHeight="1">
      <c r="A173" s="38">
        <f t="shared" si="4"/>
        <v>40</v>
      </c>
      <c r="B173" s="38"/>
      <c r="C173" s="40"/>
      <c r="D173" s="40"/>
      <c r="E173" s="176"/>
      <c r="F173" s="38"/>
      <c r="G173" s="38"/>
      <c r="H173" s="38"/>
      <c r="I173" s="5"/>
      <c r="J173" s="5"/>
      <c r="K173" s="5"/>
      <c r="L173" s="38"/>
      <c r="M173" s="38"/>
      <c r="N173" s="38"/>
      <c r="O173" s="45"/>
      <c r="P173" s="52"/>
      <c r="Q173" s="52"/>
      <c r="R173" s="52"/>
      <c r="S173" s="52"/>
      <c r="T173" s="52"/>
      <c r="U173" s="17"/>
      <c r="V173" s="17"/>
      <c r="W173" s="17"/>
      <c r="X173" s="17"/>
      <c r="Y173" s="17"/>
      <c r="Z173" s="17"/>
      <c r="AA173" s="17"/>
      <c r="AB173" s="17"/>
      <c r="AC173" s="17"/>
    </row>
    <row r="174" spans="1:29" ht="30.75" hidden="1" customHeight="1">
      <c r="A174" s="38">
        <f t="shared" si="4"/>
        <v>41</v>
      </c>
      <c r="B174" s="38"/>
      <c r="C174" s="40"/>
      <c r="D174" s="40"/>
      <c r="E174" s="38"/>
      <c r="F174" s="38"/>
      <c r="G174" s="38"/>
      <c r="H174" s="38"/>
      <c r="I174" s="5"/>
      <c r="J174" s="5"/>
      <c r="K174" s="5"/>
      <c r="L174" s="38"/>
      <c r="M174" s="38"/>
      <c r="N174" s="38"/>
      <c r="O174" s="45"/>
      <c r="P174" s="52"/>
      <c r="Q174" s="52"/>
      <c r="R174" s="52"/>
      <c r="S174" s="52"/>
      <c r="T174" s="52"/>
      <c r="U174" s="17"/>
      <c r="V174" s="17"/>
      <c r="W174" s="17"/>
      <c r="X174" s="17"/>
      <c r="Y174" s="17"/>
      <c r="Z174" s="17"/>
      <c r="AA174" s="17"/>
      <c r="AB174" s="17"/>
      <c r="AC174" s="17"/>
    </row>
    <row r="175" spans="1:29" ht="30.75" hidden="1" customHeight="1">
      <c r="A175" s="38">
        <f t="shared" si="4"/>
        <v>42</v>
      </c>
      <c r="B175" s="38"/>
      <c r="C175" s="40"/>
      <c r="D175" s="40"/>
      <c r="E175" s="38"/>
      <c r="F175" s="38"/>
      <c r="G175" s="38"/>
      <c r="H175" s="38"/>
      <c r="I175" s="5"/>
      <c r="J175" s="5"/>
      <c r="K175" s="5"/>
      <c r="L175" s="38"/>
      <c r="M175" s="38"/>
      <c r="N175" s="38"/>
      <c r="O175" s="45"/>
      <c r="P175" s="52"/>
      <c r="Q175" s="52"/>
      <c r="R175" s="52"/>
      <c r="S175" s="52"/>
      <c r="T175" s="52"/>
      <c r="U175" s="17"/>
      <c r="V175" s="17"/>
      <c r="W175" s="17"/>
      <c r="X175" s="17"/>
      <c r="Y175" s="17"/>
      <c r="Z175" s="17"/>
      <c r="AA175" s="17"/>
      <c r="AB175" s="17"/>
      <c r="AC175" s="17"/>
    </row>
    <row r="176" spans="1:29" ht="30.75" hidden="1" customHeight="1">
      <c r="A176" s="38">
        <f t="shared" si="4"/>
        <v>43</v>
      </c>
      <c r="B176" s="38"/>
      <c r="C176" s="40"/>
      <c r="D176" s="40"/>
      <c r="E176" s="38"/>
      <c r="F176" s="38"/>
      <c r="G176" s="38"/>
      <c r="H176" s="38"/>
      <c r="I176" s="5"/>
      <c r="J176" s="5"/>
      <c r="K176" s="5"/>
      <c r="L176" s="38"/>
      <c r="M176" s="38"/>
      <c r="N176" s="38"/>
      <c r="O176" s="45"/>
      <c r="P176" s="52"/>
      <c r="Q176" s="52"/>
      <c r="R176" s="52"/>
      <c r="S176" s="52"/>
      <c r="T176" s="52"/>
      <c r="U176" s="17"/>
      <c r="V176" s="17"/>
      <c r="W176" s="17"/>
      <c r="X176" s="17"/>
      <c r="Y176" s="17"/>
      <c r="Z176" s="17"/>
      <c r="AA176" s="17"/>
      <c r="AB176" s="17"/>
      <c r="AC176" s="17"/>
    </row>
    <row r="177" spans="1:29" ht="30.75" hidden="1" customHeight="1">
      <c r="A177" s="38">
        <f t="shared" si="4"/>
        <v>44</v>
      </c>
      <c r="B177" s="38"/>
      <c r="C177" s="40"/>
      <c r="D177" s="40"/>
      <c r="E177" s="38"/>
      <c r="F177" s="38"/>
      <c r="G177" s="38"/>
      <c r="H177" s="38"/>
      <c r="I177" s="5"/>
      <c r="J177" s="5"/>
      <c r="K177" s="5"/>
      <c r="L177" s="38"/>
      <c r="M177" s="38"/>
      <c r="N177" s="38"/>
      <c r="O177" s="45"/>
      <c r="P177" s="52"/>
      <c r="Q177" s="52"/>
      <c r="R177" s="52"/>
      <c r="S177" s="52"/>
      <c r="T177" s="52"/>
      <c r="U177" s="17"/>
      <c r="V177" s="17"/>
      <c r="W177" s="17"/>
      <c r="X177" s="17"/>
      <c r="Y177" s="17"/>
      <c r="Z177" s="17"/>
      <c r="AA177" s="17"/>
      <c r="AB177" s="17"/>
      <c r="AC177" s="17"/>
    </row>
    <row r="178" spans="1:29" ht="30.75" hidden="1" customHeight="1">
      <c r="A178" s="38">
        <f t="shared" si="4"/>
        <v>45</v>
      </c>
      <c r="B178" s="38"/>
      <c r="C178" s="40"/>
      <c r="D178" s="40"/>
      <c r="E178" s="38"/>
      <c r="F178" s="38"/>
      <c r="G178" s="38"/>
      <c r="H178" s="38"/>
      <c r="I178" s="5"/>
      <c r="J178" s="5"/>
      <c r="K178" s="5"/>
      <c r="L178" s="38"/>
      <c r="M178" s="38"/>
      <c r="N178" s="38"/>
      <c r="O178" s="45"/>
      <c r="P178" s="52"/>
      <c r="Q178" s="52"/>
      <c r="R178" s="52"/>
      <c r="S178" s="52"/>
      <c r="T178" s="52"/>
      <c r="U178" s="17"/>
      <c r="V178" s="17"/>
      <c r="W178" s="17"/>
      <c r="X178" s="17"/>
      <c r="Y178" s="17"/>
      <c r="Z178" s="17"/>
      <c r="AA178" s="17"/>
      <c r="AB178" s="17"/>
      <c r="AC178" s="17"/>
    </row>
    <row r="179" spans="1:29" ht="30.75" hidden="1" customHeight="1">
      <c r="A179" s="38">
        <f t="shared" si="4"/>
        <v>46</v>
      </c>
      <c r="B179" s="38"/>
      <c r="C179" s="40"/>
      <c r="D179" s="40"/>
      <c r="E179" s="38"/>
      <c r="F179" s="38"/>
      <c r="G179" s="38"/>
      <c r="H179" s="38"/>
      <c r="I179" s="5"/>
      <c r="J179" s="5"/>
      <c r="K179" s="5"/>
      <c r="L179" s="38"/>
      <c r="M179" s="38"/>
      <c r="N179" s="38"/>
      <c r="O179" s="45"/>
      <c r="P179" s="52"/>
      <c r="Q179" s="52"/>
      <c r="R179" s="52"/>
      <c r="S179" s="52"/>
      <c r="T179" s="52"/>
      <c r="U179" s="17"/>
      <c r="V179" s="17"/>
      <c r="W179" s="17"/>
      <c r="X179" s="17"/>
      <c r="Y179" s="17"/>
      <c r="Z179" s="17"/>
      <c r="AA179" s="17"/>
      <c r="AB179" s="17"/>
      <c r="AC179" s="17"/>
    </row>
    <row r="180" spans="1:29" ht="30.75" hidden="1" customHeight="1">
      <c r="A180" s="38">
        <f t="shared" si="4"/>
        <v>47</v>
      </c>
      <c r="B180" s="38"/>
      <c r="C180" s="40"/>
      <c r="D180" s="40"/>
      <c r="E180" s="38"/>
      <c r="F180" s="38"/>
      <c r="G180" s="38"/>
      <c r="H180" s="38"/>
      <c r="I180" s="5"/>
      <c r="J180" s="5"/>
      <c r="K180" s="5"/>
      <c r="L180" s="38"/>
      <c r="M180" s="38"/>
      <c r="N180" s="38"/>
      <c r="O180" s="45"/>
      <c r="P180" s="52"/>
      <c r="Q180" s="52"/>
      <c r="R180" s="52"/>
      <c r="S180" s="52"/>
      <c r="T180" s="52"/>
      <c r="U180" s="17"/>
      <c r="V180" s="17"/>
      <c r="W180" s="17"/>
      <c r="X180" s="17"/>
      <c r="Y180" s="17"/>
      <c r="Z180" s="17"/>
      <c r="AA180" s="17"/>
      <c r="AB180" s="17"/>
      <c r="AC180" s="17"/>
    </row>
    <row r="181" spans="1:29" ht="30.75" hidden="1" customHeight="1">
      <c r="A181" s="38">
        <f t="shared" si="4"/>
        <v>48</v>
      </c>
      <c r="B181" s="38"/>
      <c r="C181" s="40"/>
      <c r="D181" s="40"/>
      <c r="E181" s="38"/>
      <c r="F181" s="38"/>
      <c r="G181" s="38"/>
      <c r="H181" s="38"/>
      <c r="I181" s="5"/>
      <c r="J181" s="5"/>
      <c r="K181" s="5"/>
      <c r="L181" s="38"/>
      <c r="M181" s="38"/>
      <c r="N181" s="38"/>
      <c r="O181" s="45"/>
      <c r="P181" s="52"/>
      <c r="Q181" s="52"/>
      <c r="R181" s="52"/>
      <c r="S181" s="52"/>
      <c r="T181" s="52"/>
      <c r="U181" s="17"/>
      <c r="V181" s="17"/>
      <c r="W181" s="17"/>
      <c r="X181" s="17"/>
      <c r="Y181" s="17"/>
      <c r="Z181" s="17"/>
      <c r="AA181" s="17"/>
      <c r="AB181" s="17"/>
      <c r="AC181" s="17"/>
    </row>
    <row r="182" spans="1:29" ht="30.75" hidden="1" customHeight="1">
      <c r="A182" s="38">
        <f t="shared" si="4"/>
        <v>49</v>
      </c>
      <c r="B182" s="38"/>
      <c r="C182" s="40"/>
      <c r="D182" s="40"/>
      <c r="E182" s="38"/>
      <c r="F182" s="38"/>
      <c r="G182" s="38"/>
      <c r="H182" s="38"/>
      <c r="I182" s="5"/>
      <c r="J182" s="5"/>
      <c r="K182" s="5"/>
      <c r="L182" s="38"/>
      <c r="M182" s="38"/>
      <c r="N182" s="38"/>
      <c r="O182" s="45"/>
      <c r="P182" s="52"/>
      <c r="Q182" s="52"/>
      <c r="R182" s="52"/>
      <c r="S182" s="52"/>
      <c r="T182" s="52"/>
      <c r="U182" s="17"/>
      <c r="V182" s="17"/>
      <c r="W182" s="17"/>
      <c r="X182" s="17"/>
      <c r="Y182" s="17"/>
      <c r="Z182" s="17"/>
      <c r="AA182" s="17"/>
      <c r="AB182" s="17"/>
      <c r="AC182" s="17"/>
    </row>
    <row r="183" spans="1:29" ht="30.75" hidden="1" customHeight="1">
      <c r="A183" s="38">
        <f t="shared" si="4"/>
        <v>50</v>
      </c>
      <c r="B183" s="38"/>
      <c r="C183" s="40"/>
      <c r="D183" s="40"/>
      <c r="E183" s="38"/>
      <c r="F183" s="38"/>
      <c r="G183" s="38"/>
      <c r="H183" s="38"/>
      <c r="I183" s="5"/>
      <c r="J183" s="5"/>
      <c r="K183" s="5"/>
      <c r="L183" s="38"/>
      <c r="M183" s="38"/>
      <c r="N183" s="38"/>
      <c r="O183" s="45"/>
      <c r="P183" s="52"/>
      <c r="Q183" s="52"/>
      <c r="R183" s="52"/>
      <c r="S183" s="52"/>
      <c r="T183" s="52"/>
      <c r="U183" s="17"/>
      <c r="V183" s="17"/>
      <c r="W183" s="17"/>
      <c r="X183" s="17"/>
      <c r="Y183" s="17"/>
      <c r="Z183" s="17"/>
      <c r="AA183" s="17"/>
      <c r="AB183" s="17"/>
      <c r="AC183" s="17"/>
    </row>
    <row r="184" spans="1:29" ht="30.75" hidden="1" customHeight="1">
      <c r="A184" s="38">
        <f t="shared" si="4"/>
        <v>51</v>
      </c>
      <c r="B184" s="38"/>
      <c r="C184" s="40"/>
      <c r="D184" s="40"/>
      <c r="E184" s="38"/>
      <c r="F184" s="38"/>
      <c r="G184" s="38"/>
      <c r="H184" s="38"/>
      <c r="I184" s="5"/>
      <c r="J184" s="5"/>
      <c r="K184" s="5"/>
      <c r="L184" s="38"/>
      <c r="M184" s="38"/>
      <c r="N184" s="38"/>
      <c r="O184" s="45"/>
      <c r="P184" s="52"/>
      <c r="Q184" s="52"/>
      <c r="R184" s="52"/>
      <c r="S184" s="52"/>
      <c r="T184" s="52"/>
      <c r="U184" s="17"/>
      <c r="V184" s="17"/>
      <c r="W184" s="17"/>
      <c r="X184" s="17"/>
      <c r="Y184" s="17"/>
      <c r="Z184" s="17"/>
      <c r="AA184" s="17"/>
      <c r="AB184" s="17"/>
      <c r="AC184" s="17"/>
    </row>
    <row r="185" spans="1:29" ht="30.75" hidden="1" customHeight="1">
      <c r="A185" s="38">
        <f t="shared" si="4"/>
        <v>52</v>
      </c>
      <c r="B185" s="38"/>
      <c r="C185" s="40"/>
      <c r="D185" s="40"/>
      <c r="E185" s="38"/>
      <c r="F185" s="38"/>
      <c r="G185" s="38"/>
      <c r="H185" s="38"/>
      <c r="I185" s="5"/>
      <c r="J185" s="5"/>
      <c r="K185" s="5"/>
      <c r="L185" s="38"/>
      <c r="M185" s="38"/>
      <c r="N185" s="38"/>
      <c r="O185" s="45"/>
      <c r="P185" s="52"/>
      <c r="Q185" s="52"/>
      <c r="R185" s="52"/>
      <c r="S185" s="52"/>
      <c r="T185" s="52"/>
      <c r="U185" s="17"/>
      <c r="V185" s="17"/>
      <c r="W185" s="17"/>
      <c r="X185" s="17"/>
      <c r="Y185" s="17"/>
      <c r="Z185" s="17"/>
      <c r="AA185" s="17"/>
      <c r="AB185" s="17"/>
      <c r="AC185" s="17"/>
    </row>
    <row r="186" spans="1:29" ht="30.75" hidden="1" customHeight="1">
      <c r="A186" s="38">
        <f t="shared" si="4"/>
        <v>53</v>
      </c>
      <c r="B186" s="38"/>
      <c r="C186" s="40"/>
      <c r="D186" s="40"/>
      <c r="E186" s="38"/>
      <c r="F186" s="38"/>
      <c r="G186" s="38"/>
      <c r="H186" s="38"/>
      <c r="I186" s="5"/>
      <c r="J186" s="5"/>
      <c r="K186" s="5"/>
      <c r="L186" s="38"/>
      <c r="M186" s="38"/>
      <c r="N186" s="38"/>
      <c r="O186" s="45"/>
      <c r="P186" s="52"/>
      <c r="Q186" s="52"/>
      <c r="R186" s="52"/>
      <c r="S186" s="52"/>
      <c r="T186" s="52"/>
      <c r="U186" s="17"/>
      <c r="V186" s="17"/>
      <c r="W186" s="17"/>
      <c r="X186" s="17"/>
      <c r="Y186" s="17"/>
      <c r="Z186" s="17"/>
      <c r="AA186" s="17"/>
      <c r="AB186" s="17"/>
      <c r="AC186" s="17"/>
    </row>
    <row r="187" spans="1:29" ht="30.75" hidden="1" customHeight="1">
      <c r="A187" s="38">
        <f t="shared" si="4"/>
        <v>54</v>
      </c>
      <c r="B187" s="38"/>
      <c r="C187" s="40"/>
      <c r="D187" s="40"/>
      <c r="E187" s="38"/>
      <c r="F187" s="38"/>
      <c r="G187" s="38"/>
      <c r="H187" s="38"/>
      <c r="I187" s="5"/>
      <c r="J187" s="5"/>
      <c r="K187" s="5"/>
      <c r="L187" s="38"/>
      <c r="M187" s="38"/>
      <c r="N187" s="38"/>
      <c r="O187" s="45"/>
      <c r="P187" s="52"/>
      <c r="Q187" s="52"/>
      <c r="R187" s="52"/>
      <c r="S187" s="52"/>
      <c r="T187" s="52"/>
      <c r="U187" s="17"/>
      <c r="V187" s="17"/>
      <c r="W187" s="17"/>
      <c r="X187" s="17"/>
      <c r="Y187" s="17"/>
      <c r="Z187" s="17"/>
      <c r="AA187" s="17"/>
      <c r="AB187" s="17"/>
      <c r="AC187" s="17"/>
    </row>
    <row r="188" spans="1:29" ht="30.75" hidden="1" customHeight="1">
      <c r="A188" s="38">
        <f t="shared" si="4"/>
        <v>55</v>
      </c>
      <c r="B188" s="38"/>
      <c r="C188" s="40"/>
      <c r="D188" s="40"/>
      <c r="E188" s="38"/>
      <c r="F188" s="38"/>
      <c r="G188" s="38"/>
      <c r="H188" s="38"/>
      <c r="I188" s="5"/>
      <c r="J188" s="5"/>
      <c r="K188" s="5"/>
      <c r="L188" s="38"/>
      <c r="M188" s="38"/>
      <c r="N188" s="38"/>
      <c r="O188" s="45"/>
      <c r="P188" s="52"/>
      <c r="Q188" s="52"/>
      <c r="R188" s="52"/>
      <c r="S188" s="52"/>
      <c r="T188" s="52"/>
      <c r="U188" s="17"/>
      <c r="V188" s="17"/>
      <c r="W188" s="17"/>
      <c r="X188" s="17"/>
      <c r="Y188" s="17"/>
      <c r="Z188" s="17"/>
      <c r="AA188" s="17"/>
      <c r="AB188" s="17"/>
      <c r="AC188" s="17"/>
    </row>
    <row r="189" spans="1:29" ht="30.75" hidden="1" customHeight="1">
      <c r="A189" s="38">
        <f t="shared" si="4"/>
        <v>56</v>
      </c>
      <c r="B189" s="38"/>
      <c r="C189" s="40"/>
      <c r="D189" s="40"/>
      <c r="E189" s="38"/>
      <c r="F189" s="38"/>
      <c r="G189" s="38"/>
      <c r="H189" s="38"/>
      <c r="I189" s="5"/>
      <c r="J189" s="5"/>
      <c r="K189" s="5"/>
      <c r="L189" s="38"/>
      <c r="M189" s="38"/>
      <c r="N189" s="38"/>
      <c r="O189" s="45"/>
      <c r="P189" s="52"/>
      <c r="Q189" s="52"/>
      <c r="R189" s="52"/>
      <c r="S189" s="52"/>
      <c r="T189" s="52"/>
      <c r="U189" s="17"/>
      <c r="V189" s="17"/>
      <c r="W189" s="17"/>
      <c r="X189" s="17"/>
      <c r="Y189" s="17"/>
      <c r="Z189" s="17"/>
      <c r="AA189" s="17"/>
      <c r="AB189" s="17"/>
      <c r="AC189" s="17"/>
    </row>
    <row r="190" spans="1:29" ht="30.75" hidden="1" customHeight="1">
      <c r="A190" s="38">
        <f t="shared" si="4"/>
        <v>57</v>
      </c>
      <c r="B190" s="38"/>
      <c r="C190" s="40"/>
      <c r="D190" s="40"/>
      <c r="E190" s="38"/>
      <c r="F190" s="38"/>
      <c r="G190" s="38"/>
      <c r="H190" s="38"/>
      <c r="I190" s="5"/>
      <c r="J190" s="5"/>
      <c r="K190" s="5"/>
      <c r="L190" s="38"/>
      <c r="M190" s="38"/>
      <c r="N190" s="38"/>
      <c r="O190" s="45"/>
      <c r="P190" s="52"/>
      <c r="Q190" s="52"/>
      <c r="R190" s="52"/>
      <c r="S190" s="52"/>
      <c r="T190" s="52"/>
      <c r="U190" s="17"/>
      <c r="V190" s="17"/>
      <c r="W190" s="17"/>
      <c r="X190" s="17"/>
      <c r="Y190" s="17"/>
      <c r="Z190" s="17"/>
      <c r="AA190" s="17"/>
      <c r="AB190" s="17"/>
      <c r="AC190" s="17"/>
    </row>
    <row r="191" spans="1:29" ht="30.75" hidden="1" customHeight="1">
      <c r="A191" s="38">
        <f t="shared" si="4"/>
        <v>58</v>
      </c>
      <c r="B191" s="38"/>
      <c r="C191" s="40"/>
      <c r="D191" s="40"/>
      <c r="E191" s="38"/>
      <c r="F191" s="38"/>
      <c r="G191" s="38"/>
      <c r="H191" s="38"/>
      <c r="I191" s="5"/>
      <c r="J191" s="5"/>
      <c r="K191" s="5"/>
      <c r="L191" s="38"/>
      <c r="M191" s="38"/>
      <c r="N191" s="38"/>
      <c r="O191" s="45"/>
      <c r="P191" s="52"/>
      <c r="Q191" s="52"/>
      <c r="R191" s="52"/>
      <c r="S191" s="52"/>
      <c r="T191" s="52"/>
      <c r="U191" s="17"/>
      <c r="V191" s="17"/>
      <c r="W191" s="17"/>
      <c r="X191" s="17"/>
      <c r="Y191" s="17"/>
      <c r="Z191" s="17"/>
      <c r="AA191" s="17"/>
      <c r="AB191" s="17"/>
      <c r="AC191" s="17"/>
    </row>
    <row r="192" spans="1:29" ht="30.75" hidden="1" customHeight="1">
      <c r="A192" s="38">
        <f t="shared" si="4"/>
        <v>59</v>
      </c>
      <c r="B192" s="38"/>
      <c r="C192" s="40"/>
      <c r="D192" s="40"/>
      <c r="E192" s="38"/>
      <c r="F192" s="38"/>
      <c r="G192" s="38"/>
      <c r="H192" s="38"/>
      <c r="I192" s="5"/>
      <c r="J192" s="5"/>
      <c r="K192" s="5"/>
      <c r="L192" s="38"/>
      <c r="M192" s="38"/>
      <c r="N192" s="38"/>
      <c r="O192" s="45"/>
      <c r="P192" s="52"/>
      <c r="Q192" s="52"/>
      <c r="R192" s="52"/>
      <c r="S192" s="52"/>
      <c r="T192" s="52"/>
      <c r="U192" s="17"/>
      <c r="V192" s="17"/>
      <c r="W192" s="17"/>
      <c r="X192" s="17"/>
      <c r="Y192" s="17"/>
      <c r="Z192" s="17"/>
      <c r="AA192" s="17"/>
      <c r="AB192" s="17"/>
      <c r="AC192" s="17"/>
    </row>
    <row r="193" spans="1:29" ht="30.75" hidden="1" customHeight="1">
      <c r="A193" s="38">
        <f t="shared" si="4"/>
        <v>60</v>
      </c>
      <c r="B193" s="38"/>
      <c r="C193" s="40"/>
      <c r="D193" s="40"/>
      <c r="E193" s="38"/>
      <c r="F193" s="38"/>
      <c r="G193" s="38"/>
      <c r="H193" s="38"/>
      <c r="I193" s="5"/>
      <c r="J193" s="5"/>
      <c r="K193" s="5"/>
      <c r="L193" s="38"/>
      <c r="M193" s="38"/>
      <c r="N193" s="38"/>
      <c r="O193" s="45"/>
      <c r="P193" s="52"/>
      <c r="Q193" s="52"/>
      <c r="R193" s="52"/>
      <c r="S193" s="52"/>
      <c r="T193" s="52"/>
      <c r="U193" s="17"/>
      <c r="V193" s="17"/>
      <c r="W193" s="17"/>
      <c r="X193" s="17"/>
      <c r="Y193" s="17"/>
      <c r="Z193" s="17"/>
      <c r="AA193" s="17"/>
      <c r="AB193" s="17"/>
      <c r="AC193" s="17"/>
    </row>
    <row r="194" spans="1:29" ht="30.75" hidden="1" customHeight="1">
      <c r="A194" s="38">
        <f t="shared" si="4"/>
        <v>61</v>
      </c>
      <c r="B194" s="38"/>
      <c r="C194" s="40"/>
      <c r="D194" s="40"/>
      <c r="E194" s="38"/>
      <c r="F194" s="38"/>
      <c r="G194" s="38"/>
      <c r="H194" s="38"/>
      <c r="I194" s="5"/>
      <c r="J194" s="5"/>
      <c r="K194" s="5"/>
      <c r="L194" s="38"/>
      <c r="M194" s="38"/>
      <c r="N194" s="38"/>
      <c r="O194" s="45"/>
      <c r="P194" s="52"/>
      <c r="Q194" s="52"/>
      <c r="R194" s="52"/>
      <c r="S194" s="52"/>
      <c r="T194" s="52"/>
      <c r="U194" s="17"/>
      <c r="V194" s="17"/>
      <c r="W194" s="17"/>
      <c r="X194" s="17"/>
      <c r="Y194" s="17"/>
      <c r="Z194" s="17"/>
      <c r="AA194" s="17"/>
      <c r="AB194" s="17"/>
      <c r="AC194" s="17"/>
    </row>
    <row r="195" spans="1:29" ht="30.75" hidden="1" customHeight="1">
      <c r="A195" s="38">
        <f t="shared" si="4"/>
        <v>62</v>
      </c>
      <c r="B195" s="38"/>
      <c r="C195" s="40"/>
      <c r="D195" s="40"/>
      <c r="E195" s="38"/>
      <c r="F195" s="38"/>
      <c r="G195" s="38"/>
      <c r="H195" s="38"/>
      <c r="I195" s="5"/>
      <c r="J195" s="5"/>
      <c r="K195" s="5"/>
      <c r="L195" s="38"/>
      <c r="M195" s="38"/>
      <c r="N195" s="38"/>
      <c r="O195" s="45"/>
      <c r="P195" s="52"/>
      <c r="Q195" s="52"/>
      <c r="R195" s="52"/>
      <c r="S195" s="52"/>
      <c r="T195" s="52"/>
      <c r="U195" s="17"/>
      <c r="V195" s="17"/>
      <c r="W195" s="17"/>
      <c r="X195" s="17"/>
      <c r="Y195" s="17"/>
      <c r="Z195" s="17"/>
      <c r="AA195" s="17"/>
      <c r="AB195" s="17"/>
      <c r="AC195" s="17"/>
    </row>
    <row r="196" spans="1:29" ht="30.75" hidden="1" customHeight="1">
      <c r="A196" s="38">
        <f t="shared" si="4"/>
        <v>63</v>
      </c>
      <c r="B196" s="38"/>
      <c r="C196" s="40"/>
      <c r="D196" s="40"/>
      <c r="E196" s="38"/>
      <c r="F196" s="38"/>
      <c r="G196" s="38"/>
      <c r="H196" s="38"/>
      <c r="I196" s="5"/>
      <c r="J196" s="5"/>
      <c r="K196" s="5"/>
      <c r="L196" s="38"/>
      <c r="M196" s="38"/>
      <c r="N196" s="38"/>
      <c r="O196" s="45"/>
      <c r="P196" s="52"/>
      <c r="Q196" s="52"/>
      <c r="R196" s="52"/>
      <c r="S196" s="52"/>
      <c r="T196" s="52"/>
      <c r="U196" s="17"/>
      <c r="V196" s="17"/>
      <c r="W196" s="17"/>
      <c r="X196" s="17"/>
      <c r="Y196" s="17"/>
      <c r="Z196" s="17"/>
      <c r="AA196" s="17"/>
      <c r="AB196" s="17"/>
      <c r="AC196" s="17"/>
    </row>
    <row r="197" spans="1:29" ht="30.75" hidden="1" customHeight="1">
      <c r="A197" s="38">
        <f t="shared" si="4"/>
        <v>64</v>
      </c>
      <c r="B197" s="38"/>
      <c r="C197" s="40"/>
      <c r="D197" s="40"/>
      <c r="E197" s="38"/>
      <c r="F197" s="38"/>
      <c r="G197" s="38"/>
      <c r="H197" s="38"/>
      <c r="I197" s="5"/>
      <c r="J197" s="5"/>
      <c r="K197" s="5"/>
      <c r="L197" s="38"/>
      <c r="M197" s="38"/>
      <c r="N197" s="38"/>
      <c r="O197" s="45"/>
      <c r="P197" s="52"/>
      <c r="Q197" s="52"/>
      <c r="R197" s="52"/>
      <c r="S197" s="52"/>
      <c r="T197" s="52"/>
      <c r="U197" s="17"/>
      <c r="V197" s="17"/>
      <c r="W197" s="17"/>
      <c r="X197" s="17"/>
      <c r="Y197" s="17"/>
      <c r="Z197" s="17"/>
      <c r="AA197" s="17"/>
      <c r="AB197" s="17"/>
      <c r="AC197" s="17"/>
    </row>
    <row r="198" spans="1:29" ht="30.75" hidden="1" customHeight="1">
      <c r="A198" s="38">
        <f t="shared" si="4"/>
        <v>65</v>
      </c>
      <c r="B198" s="38"/>
      <c r="C198" s="40"/>
      <c r="D198" s="40"/>
      <c r="E198" s="38"/>
      <c r="F198" s="38"/>
      <c r="G198" s="38"/>
      <c r="H198" s="38"/>
      <c r="I198" s="5"/>
      <c r="J198" s="5"/>
      <c r="K198" s="5"/>
      <c r="L198" s="38"/>
      <c r="M198" s="38"/>
      <c r="N198" s="38"/>
      <c r="O198" s="45"/>
      <c r="P198" s="52"/>
      <c r="Q198" s="52"/>
      <c r="R198" s="52"/>
      <c r="S198" s="52"/>
      <c r="T198" s="52"/>
      <c r="U198" s="17"/>
      <c r="V198" s="17"/>
      <c r="W198" s="17"/>
      <c r="X198" s="17"/>
      <c r="Y198" s="17"/>
      <c r="Z198" s="17"/>
      <c r="AA198" s="17"/>
      <c r="AB198" s="17"/>
      <c r="AC198" s="17"/>
    </row>
    <row r="199" spans="1:29" ht="30.75" hidden="1" customHeight="1">
      <c r="A199" s="38">
        <f t="shared" si="4"/>
        <v>66</v>
      </c>
      <c r="B199" s="38"/>
      <c r="C199" s="40"/>
      <c r="D199" s="40"/>
      <c r="E199" s="38"/>
      <c r="F199" s="38"/>
      <c r="G199" s="38"/>
      <c r="H199" s="38"/>
      <c r="I199" s="5"/>
      <c r="J199" s="5"/>
      <c r="K199" s="5"/>
      <c r="L199" s="38"/>
      <c r="M199" s="38"/>
      <c r="N199" s="38"/>
      <c r="O199" s="45"/>
      <c r="P199" s="52"/>
      <c r="Q199" s="52"/>
      <c r="R199" s="52"/>
      <c r="S199" s="52"/>
      <c r="T199" s="52"/>
      <c r="U199" s="17"/>
      <c r="V199" s="17"/>
      <c r="W199" s="17"/>
      <c r="X199" s="17"/>
      <c r="Y199" s="17"/>
      <c r="Z199" s="17"/>
      <c r="AA199" s="17"/>
      <c r="AB199" s="17"/>
      <c r="AC199" s="17"/>
    </row>
    <row r="200" spans="1:29" ht="30.75" hidden="1" customHeight="1">
      <c r="A200" s="38">
        <f t="shared" si="4"/>
        <v>67</v>
      </c>
      <c r="B200" s="38"/>
      <c r="C200" s="40"/>
      <c r="D200" s="40"/>
      <c r="E200" s="38"/>
      <c r="F200" s="38"/>
      <c r="G200" s="38"/>
      <c r="H200" s="38"/>
      <c r="I200" s="5"/>
      <c r="J200" s="5"/>
      <c r="K200" s="5"/>
      <c r="L200" s="38"/>
      <c r="M200" s="38"/>
      <c r="N200" s="38"/>
      <c r="O200" s="45"/>
      <c r="P200" s="52"/>
      <c r="Q200" s="52"/>
      <c r="R200" s="52"/>
      <c r="S200" s="52"/>
      <c r="T200" s="52"/>
      <c r="U200" s="17"/>
      <c r="V200" s="17"/>
      <c r="W200" s="17"/>
      <c r="X200" s="17"/>
      <c r="Y200" s="17"/>
      <c r="Z200" s="17"/>
      <c r="AA200" s="17"/>
      <c r="AB200" s="17"/>
      <c r="AC200" s="17"/>
    </row>
    <row r="201" spans="1:29" ht="30.75" hidden="1" customHeight="1">
      <c r="A201" s="38">
        <f t="shared" si="4"/>
        <v>68</v>
      </c>
      <c r="B201" s="38"/>
      <c r="C201" s="40"/>
      <c r="D201" s="40"/>
      <c r="E201" s="38"/>
      <c r="F201" s="38"/>
      <c r="G201" s="38"/>
      <c r="H201" s="38"/>
      <c r="I201" s="5"/>
      <c r="J201" s="5"/>
      <c r="K201" s="5"/>
      <c r="L201" s="38"/>
      <c r="M201" s="38"/>
      <c r="N201" s="38"/>
      <c r="O201" s="45"/>
      <c r="P201" s="52"/>
      <c r="Q201" s="52"/>
      <c r="R201" s="52"/>
      <c r="S201" s="52"/>
      <c r="T201" s="52"/>
      <c r="U201" s="17"/>
      <c r="V201" s="17"/>
      <c r="W201" s="17"/>
      <c r="X201" s="17"/>
      <c r="Y201" s="17"/>
      <c r="Z201" s="17"/>
      <c r="AA201" s="17"/>
      <c r="AB201" s="17"/>
      <c r="AC201" s="17"/>
    </row>
    <row r="202" spans="1:29" ht="30.75" hidden="1" customHeight="1">
      <c r="A202" s="38">
        <f t="shared" si="4"/>
        <v>69</v>
      </c>
      <c r="B202" s="38"/>
      <c r="C202" s="40"/>
      <c r="D202" s="40"/>
      <c r="E202" s="38"/>
      <c r="F202" s="38"/>
      <c r="G202" s="38"/>
      <c r="H202" s="38"/>
      <c r="I202" s="5"/>
      <c r="J202" s="5"/>
      <c r="K202" s="5"/>
      <c r="L202" s="38"/>
      <c r="M202" s="38"/>
      <c r="N202" s="38"/>
      <c r="O202" s="45"/>
      <c r="P202" s="52"/>
      <c r="Q202" s="52"/>
      <c r="R202" s="52"/>
      <c r="S202" s="52"/>
      <c r="T202" s="52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 ht="30.75" hidden="1" customHeight="1">
      <c r="A203" s="38">
        <f t="shared" si="4"/>
        <v>70</v>
      </c>
      <c r="B203" s="38"/>
      <c r="C203" s="40"/>
      <c r="D203" s="40"/>
      <c r="E203" s="38"/>
      <c r="F203" s="38"/>
      <c r="G203" s="38"/>
      <c r="H203" s="38"/>
      <c r="I203" s="5"/>
      <c r="J203" s="5"/>
      <c r="K203" s="5"/>
      <c r="L203" s="38"/>
      <c r="M203" s="38"/>
      <c r="N203" s="38"/>
      <c r="O203" s="45"/>
      <c r="P203" s="52"/>
      <c r="Q203" s="52"/>
      <c r="R203" s="52"/>
      <c r="S203" s="52"/>
      <c r="T203" s="52"/>
      <c r="U203" s="17"/>
      <c r="V203" s="17"/>
      <c r="W203" s="17"/>
      <c r="X203" s="17"/>
      <c r="Y203" s="17"/>
      <c r="Z203" s="17"/>
      <c r="AA203" s="17"/>
      <c r="AB203" s="17"/>
      <c r="AC203" s="17"/>
    </row>
    <row r="204" spans="1:29" ht="30.75" hidden="1" customHeight="1">
      <c r="A204" s="38">
        <f t="shared" si="4"/>
        <v>71</v>
      </c>
      <c r="B204" s="38"/>
      <c r="C204" s="40"/>
      <c r="D204" s="40"/>
      <c r="E204" s="38"/>
      <c r="F204" s="38"/>
      <c r="G204" s="38"/>
      <c r="H204" s="38"/>
      <c r="I204" s="5"/>
      <c r="J204" s="5"/>
      <c r="K204" s="5"/>
      <c r="L204" s="38"/>
      <c r="M204" s="38"/>
      <c r="N204" s="38"/>
      <c r="O204" s="45"/>
      <c r="P204" s="52"/>
      <c r="Q204" s="52"/>
      <c r="R204" s="52"/>
      <c r="S204" s="52"/>
      <c r="T204" s="52"/>
      <c r="U204" s="17"/>
      <c r="V204" s="17"/>
      <c r="W204" s="17"/>
      <c r="X204" s="17"/>
      <c r="Y204" s="17"/>
      <c r="Z204" s="17"/>
      <c r="AA204" s="17"/>
      <c r="AB204" s="17"/>
      <c r="AC204" s="17"/>
    </row>
    <row r="205" spans="1:29" ht="30.75" hidden="1" customHeight="1">
      <c r="A205" s="38">
        <f t="shared" si="4"/>
        <v>72</v>
      </c>
      <c r="B205" s="38"/>
      <c r="C205" s="40"/>
      <c r="D205" s="40"/>
      <c r="E205" s="38"/>
      <c r="F205" s="38"/>
      <c r="G205" s="38"/>
      <c r="H205" s="38"/>
      <c r="I205" s="5"/>
      <c r="J205" s="5"/>
      <c r="K205" s="5"/>
      <c r="L205" s="38"/>
      <c r="M205" s="38"/>
      <c r="N205" s="38"/>
      <c r="O205" s="45"/>
      <c r="P205" s="52"/>
      <c r="Q205" s="52"/>
      <c r="R205" s="52"/>
      <c r="S205" s="52"/>
      <c r="T205" s="52"/>
      <c r="U205" s="17"/>
      <c r="V205" s="17"/>
      <c r="W205" s="17"/>
      <c r="X205" s="17"/>
      <c r="Y205" s="17"/>
      <c r="Z205" s="17"/>
      <c r="AA205" s="17"/>
      <c r="AB205" s="17"/>
      <c r="AC205" s="17"/>
    </row>
    <row r="206" spans="1:29" ht="30.75" hidden="1" customHeight="1">
      <c r="A206" s="38">
        <f t="shared" si="4"/>
        <v>73</v>
      </c>
      <c r="B206" s="38"/>
      <c r="C206" s="40"/>
      <c r="D206" s="40"/>
      <c r="E206" s="38"/>
      <c r="F206" s="38"/>
      <c r="G206" s="38"/>
      <c r="H206" s="38"/>
      <c r="I206" s="5"/>
      <c r="J206" s="5"/>
      <c r="K206" s="5"/>
      <c r="L206" s="38"/>
      <c r="M206" s="38"/>
      <c r="N206" s="38"/>
      <c r="O206" s="45"/>
      <c r="P206" s="52"/>
      <c r="Q206" s="52"/>
      <c r="R206" s="52"/>
      <c r="S206" s="52"/>
      <c r="T206" s="52"/>
      <c r="U206" s="17"/>
      <c r="V206" s="17"/>
      <c r="W206" s="17"/>
      <c r="X206" s="17"/>
      <c r="Y206" s="17"/>
      <c r="Z206" s="17"/>
      <c r="AA206" s="17"/>
      <c r="AB206" s="17"/>
      <c r="AC206" s="17"/>
    </row>
    <row r="207" spans="1:29" ht="30.75" hidden="1" customHeight="1">
      <c r="A207" s="38">
        <f t="shared" si="4"/>
        <v>74</v>
      </c>
      <c r="B207" s="38"/>
      <c r="C207" s="40"/>
      <c r="D207" s="40"/>
      <c r="E207" s="38"/>
      <c r="F207" s="38"/>
      <c r="G207" s="38"/>
      <c r="H207" s="38"/>
      <c r="I207" s="5"/>
      <c r="J207" s="5"/>
      <c r="K207" s="5"/>
      <c r="L207" s="38"/>
      <c r="M207" s="38"/>
      <c r="N207" s="38"/>
      <c r="O207" s="45"/>
      <c r="P207" s="52"/>
      <c r="Q207" s="52"/>
      <c r="R207" s="52"/>
      <c r="S207" s="52"/>
      <c r="T207" s="52"/>
      <c r="U207" s="17"/>
      <c r="V207" s="17"/>
      <c r="W207" s="17"/>
      <c r="X207" s="17"/>
      <c r="Y207" s="17"/>
      <c r="Z207" s="17"/>
      <c r="AA207" s="17"/>
      <c r="AB207" s="17"/>
      <c r="AC207" s="17"/>
    </row>
    <row r="208" spans="1:29" ht="30.75" hidden="1" customHeight="1">
      <c r="A208" s="38">
        <f t="shared" si="4"/>
        <v>75</v>
      </c>
      <c r="B208" s="38"/>
      <c r="C208" s="40"/>
      <c r="D208" s="40"/>
      <c r="E208" s="38"/>
      <c r="F208" s="38"/>
      <c r="G208" s="38"/>
      <c r="H208" s="38"/>
      <c r="I208" s="5"/>
      <c r="J208" s="5"/>
      <c r="K208" s="5"/>
      <c r="L208" s="38"/>
      <c r="M208" s="38"/>
      <c r="N208" s="38"/>
      <c r="O208" s="45"/>
      <c r="P208" s="52"/>
      <c r="Q208" s="52"/>
      <c r="R208" s="52"/>
      <c r="S208" s="52"/>
      <c r="T208" s="52"/>
      <c r="U208" s="17"/>
      <c r="V208" s="17"/>
      <c r="W208" s="17"/>
      <c r="X208" s="17"/>
      <c r="Y208" s="17"/>
      <c r="Z208" s="17"/>
      <c r="AA208" s="17"/>
      <c r="AB208" s="17"/>
      <c r="AC208" s="17"/>
    </row>
    <row r="209" spans="1:29" ht="30.75" hidden="1" customHeight="1">
      <c r="A209" s="38">
        <f t="shared" si="4"/>
        <v>76</v>
      </c>
      <c r="B209" s="38"/>
      <c r="C209" s="40"/>
      <c r="D209" s="40"/>
      <c r="E209" s="38"/>
      <c r="F209" s="38"/>
      <c r="G209" s="38"/>
      <c r="H209" s="38"/>
      <c r="I209" s="5"/>
      <c r="J209" s="5"/>
      <c r="K209" s="5"/>
      <c r="L209" s="38"/>
      <c r="M209" s="38"/>
      <c r="N209" s="38"/>
      <c r="O209" s="45"/>
      <c r="P209" s="52"/>
      <c r="Q209" s="52"/>
      <c r="R209" s="52"/>
      <c r="S209" s="52"/>
      <c r="T209" s="52"/>
      <c r="U209" s="17"/>
      <c r="V209" s="17"/>
      <c r="W209" s="17"/>
      <c r="X209" s="17"/>
      <c r="Y209" s="17"/>
      <c r="Z209" s="17"/>
      <c r="AA209" s="17"/>
      <c r="AB209" s="17"/>
      <c r="AC209" s="17"/>
    </row>
    <row r="210" spans="1:29" ht="30.75" hidden="1" customHeight="1">
      <c r="A210" s="38">
        <f t="shared" si="4"/>
        <v>77</v>
      </c>
      <c r="B210" s="38"/>
      <c r="C210" s="40"/>
      <c r="D210" s="40"/>
      <c r="E210" s="38"/>
      <c r="F210" s="38"/>
      <c r="G210" s="38"/>
      <c r="H210" s="38"/>
      <c r="I210" s="5"/>
      <c r="J210" s="5"/>
      <c r="K210" s="5"/>
      <c r="L210" s="38"/>
      <c r="M210" s="38"/>
      <c r="N210" s="38"/>
      <c r="O210" s="45"/>
      <c r="P210" s="52"/>
      <c r="Q210" s="52"/>
      <c r="R210" s="52"/>
      <c r="S210" s="52"/>
      <c r="T210" s="52"/>
      <c r="U210" s="17"/>
      <c r="V210" s="17"/>
      <c r="W210" s="17"/>
      <c r="X210" s="17"/>
      <c r="Y210" s="17"/>
      <c r="Z210" s="17"/>
      <c r="AA210" s="17"/>
      <c r="AB210" s="17"/>
      <c r="AC210" s="17"/>
    </row>
    <row r="211" spans="1:29" ht="30.75" hidden="1" customHeight="1">
      <c r="A211" s="38">
        <f t="shared" si="4"/>
        <v>78</v>
      </c>
      <c r="B211" s="38"/>
      <c r="C211" s="40"/>
      <c r="D211" s="40"/>
      <c r="E211" s="38"/>
      <c r="F211" s="38"/>
      <c r="G211" s="38"/>
      <c r="H211" s="38"/>
      <c r="I211" s="5"/>
      <c r="J211" s="5"/>
      <c r="K211" s="5"/>
      <c r="L211" s="38"/>
      <c r="M211" s="38"/>
      <c r="N211" s="38"/>
      <c r="O211" s="45"/>
      <c r="P211" s="52"/>
      <c r="Q211" s="52"/>
      <c r="R211" s="52"/>
      <c r="S211" s="52"/>
      <c r="T211" s="52"/>
      <c r="U211" s="17"/>
      <c r="V211" s="17"/>
      <c r="W211" s="17"/>
      <c r="X211" s="17"/>
      <c r="Y211" s="17"/>
      <c r="Z211" s="17"/>
      <c r="AA211" s="17"/>
      <c r="AB211" s="17"/>
      <c r="AC211" s="17"/>
    </row>
    <row r="212" spans="1:29" ht="30.75" hidden="1" customHeight="1">
      <c r="A212" s="38">
        <f t="shared" si="4"/>
        <v>79</v>
      </c>
      <c r="B212" s="38"/>
      <c r="C212" s="40"/>
      <c r="D212" s="40"/>
      <c r="E212" s="38"/>
      <c r="F212" s="38"/>
      <c r="G212" s="38"/>
      <c r="H212" s="38"/>
      <c r="I212" s="5"/>
      <c r="J212" s="5"/>
      <c r="K212" s="5"/>
      <c r="L212" s="38"/>
      <c r="M212" s="38"/>
      <c r="N212" s="38"/>
      <c r="O212" s="45"/>
      <c r="P212" s="52"/>
      <c r="Q212" s="52"/>
      <c r="R212" s="52"/>
      <c r="S212" s="52"/>
      <c r="T212" s="52"/>
      <c r="U212" s="17"/>
      <c r="V212" s="17"/>
      <c r="W212" s="17"/>
      <c r="X212" s="17"/>
      <c r="Y212" s="17"/>
      <c r="Z212" s="17"/>
      <c r="AA212" s="17"/>
      <c r="AB212" s="17"/>
      <c r="AC212" s="17"/>
    </row>
    <row r="213" spans="1:29" ht="30.75" hidden="1" customHeight="1">
      <c r="A213" s="38">
        <f t="shared" si="4"/>
        <v>80</v>
      </c>
      <c r="B213" s="38"/>
      <c r="C213" s="40"/>
      <c r="D213" s="40"/>
      <c r="E213" s="38"/>
      <c r="F213" s="38"/>
      <c r="G213" s="38"/>
      <c r="H213" s="38"/>
      <c r="I213" s="5"/>
      <c r="J213" s="5"/>
      <c r="K213" s="5"/>
      <c r="L213" s="38"/>
      <c r="M213" s="38"/>
      <c r="N213" s="38"/>
      <c r="O213" s="45"/>
      <c r="P213" s="52"/>
      <c r="Q213" s="52"/>
      <c r="R213" s="52"/>
      <c r="S213" s="52"/>
      <c r="T213" s="52"/>
      <c r="U213" s="17"/>
      <c r="V213" s="17"/>
      <c r="W213" s="17"/>
      <c r="X213" s="17"/>
      <c r="Y213" s="17"/>
      <c r="Z213" s="17"/>
      <c r="AA213" s="17"/>
      <c r="AB213" s="17"/>
      <c r="AC213" s="17"/>
    </row>
    <row r="214" spans="1:29" ht="30.75" hidden="1" customHeight="1">
      <c r="A214" s="38">
        <f t="shared" si="4"/>
        <v>81</v>
      </c>
      <c r="B214" s="38"/>
      <c r="C214" s="40"/>
      <c r="D214" s="40"/>
      <c r="E214" s="38"/>
      <c r="F214" s="38"/>
      <c r="G214" s="38"/>
      <c r="H214" s="38"/>
      <c r="I214" s="5"/>
      <c r="J214" s="5"/>
      <c r="K214" s="5"/>
      <c r="L214" s="38"/>
      <c r="M214" s="38"/>
      <c r="N214" s="38"/>
      <c r="O214" s="45"/>
      <c r="P214" s="52"/>
      <c r="Q214" s="52"/>
      <c r="R214" s="52"/>
      <c r="S214" s="52"/>
      <c r="T214" s="52"/>
      <c r="U214" s="17"/>
      <c r="V214" s="17"/>
      <c r="W214" s="17"/>
      <c r="X214" s="17"/>
      <c r="Y214" s="17"/>
      <c r="Z214" s="17"/>
      <c r="AA214" s="17"/>
      <c r="AB214" s="17"/>
      <c r="AC214" s="17"/>
    </row>
    <row r="215" spans="1:29" ht="30.75" hidden="1" customHeight="1">
      <c r="A215" s="38">
        <f t="shared" si="4"/>
        <v>82</v>
      </c>
      <c r="B215" s="38"/>
      <c r="C215" s="40"/>
      <c r="D215" s="40"/>
      <c r="E215" s="38"/>
      <c r="F215" s="38"/>
      <c r="G215" s="38"/>
      <c r="H215" s="38"/>
      <c r="I215" s="5"/>
      <c r="J215" s="5"/>
      <c r="K215" s="5"/>
      <c r="L215" s="38"/>
      <c r="M215" s="38"/>
      <c r="N215" s="38"/>
      <c r="O215" s="45"/>
      <c r="P215" s="52"/>
      <c r="Q215" s="52"/>
      <c r="R215" s="52"/>
      <c r="S215" s="52"/>
      <c r="T215" s="52"/>
      <c r="U215" s="17"/>
      <c r="V215" s="17"/>
      <c r="W215" s="17"/>
      <c r="X215" s="17"/>
      <c r="Y215" s="17"/>
      <c r="Z215" s="17"/>
      <c r="AA215" s="17"/>
      <c r="AB215" s="17"/>
      <c r="AC215" s="17"/>
    </row>
    <row r="216" spans="1:29" ht="30.75" hidden="1" customHeight="1">
      <c r="A216" s="38">
        <f t="shared" si="4"/>
        <v>83</v>
      </c>
      <c r="B216" s="38"/>
      <c r="C216" s="40"/>
      <c r="D216" s="40"/>
      <c r="E216" s="38"/>
      <c r="F216" s="38"/>
      <c r="G216" s="38"/>
      <c r="H216" s="38"/>
      <c r="I216" s="5"/>
      <c r="J216" s="5"/>
      <c r="K216" s="5"/>
      <c r="L216" s="38"/>
      <c r="M216" s="38"/>
      <c r="N216" s="38"/>
      <c r="O216" s="45"/>
      <c r="P216" s="52"/>
      <c r="Q216" s="52"/>
      <c r="R216" s="52"/>
      <c r="S216" s="52"/>
      <c r="T216" s="52"/>
      <c r="U216" s="17"/>
      <c r="V216" s="17"/>
      <c r="W216" s="17"/>
      <c r="X216" s="17"/>
      <c r="Y216" s="17"/>
      <c r="Z216" s="17"/>
      <c r="AA216" s="17"/>
      <c r="AB216" s="17"/>
      <c r="AC216" s="17"/>
    </row>
    <row r="217" spans="1:29" ht="30.75" hidden="1" customHeight="1">
      <c r="A217" s="38">
        <f t="shared" si="4"/>
        <v>84</v>
      </c>
      <c r="B217" s="38"/>
      <c r="C217" s="40"/>
      <c r="D217" s="40"/>
      <c r="E217" s="38"/>
      <c r="F217" s="38"/>
      <c r="G217" s="38"/>
      <c r="H217" s="38"/>
      <c r="I217" s="5"/>
      <c r="J217" s="5"/>
      <c r="K217" s="5"/>
      <c r="L217" s="38"/>
      <c r="M217" s="38"/>
      <c r="N217" s="38"/>
      <c r="O217" s="45"/>
      <c r="P217" s="52"/>
      <c r="Q217" s="52"/>
      <c r="R217" s="52"/>
      <c r="S217" s="52"/>
      <c r="T217" s="52"/>
      <c r="U217" s="17"/>
      <c r="V217" s="17"/>
      <c r="W217" s="17"/>
      <c r="X217" s="17"/>
      <c r="Y217" s="17"/>
      <c r="Z217" s="17"/>
      <c r="AA217" s="17"/>
      <c r="AB217" s="17"/>
      <c r="AC217" s="17"/>
    </row>
    <row r="218" spans="1:29" ht="30.75" hidden="1" customHeight="1">
      <c r="A218" s="38">
        <f t="shared" si="4"/>
        <v>85</v>
      </c>
      <c r="B218" s="38"/>
      <c r="C218" s="40"/>
      <c r="D218" s="40"/>
      <c r="E218" s="38"/>
      <c r="F218" s="38"/>
      <c r="G218" s="38"/>
      <c r="H218" s="38"/>
      <c r="I218" s="5"/>
      <c r="J218" s="5"/>
      <c r="K218" s="5"/>
      <c r="L218" s="38"/>
      <c r="M218" s="38"/>
      <c r="N218" s="38"/>
      <c r="O218" s="45"/>
      <c r="P218" s="52"/>
      <c r="Q218" s="52"/>
      <c r="R218" s="52"/>
      <c r="S218" s="52"/>
      <c r="T218" s="52"/>
      <c r="U218" s="17"/>
      <c r="V218" s="17"/>
      <c r="W218" s="17"/>
      <c r="X218" s="17"/>
      <c r="Y218" s="17"/>
      <c r="Z218" s="17"/>
      <c r="AA218" s="17"/>
      <c r="AB218" s="17"/>
      <c r="AC218" s="17"/>
    </row>
    <row r="219" spans="1:29" ht="30.75" hidden="1" customHeight="1">
      <c r="A219" s="38">
        <f t="shared" si="4"/>
        <v>86</v>
      </c>
      <c r="B219" s="38"/>
      <c r="C219" s="40"/>
      <c r="D219" s="40"/>
      <c r="E219" s="38"/>
      <c r="F219" s="38"/>
      <c r="G219" s="38"/>
      <c r="H219" s="38"/>
      <c r="I219" s="5"/>
      <c r="J219" s="5"/>
      <c r="K219" s="5"/>
      <c r="L219" s="38"/>
      <c r="M219" s="38"/>
      <c r="N219" s="38"/>
      <c r="O219" s="45"/>
      <c r="P219" s="52"/>
      <c r="Q219" s="52"/>
      <c r="R219" s="52"/>
      <c r="S219" s="52"/>
      <c r="T219" s="52"/>
      <c r="U219" s="17"/>
      <c r="V219" s="17"/>
      <c r="W219" s="17"/>
      <c r="X219" s="17"/>
      <c r="Y219" s="17"/>
      <c r="Z219" s="17"/>
      <c r="AA219" s="17"/>
      <c r="AB219" s="17"/>
      <c r="AC219" s="17"/>
    </row>
    <row r="220" spans="1:29" ht="30.75" hidden="1" customHeight="1">
      <c r="A220" s="38">
        <f t="shared" si="4"/>
        <v>87</v>
      </c>
      <c r="B220" s="38"/>
      <c r="C220" s="40"/>
      <c r="D220" s="40"/>
      <c r="E220" s="38"/>
      <c r="F220" s="38"/>
      <c r="G220" s="38"/>
      <c r="H220" s="38"/>
      <c r="I220" s="5"/>
      <c r="J220" s="5"/>
      <c r="K220" s="5"/>
      <c r="L220" s="38"/>
      <c r="M220" s="38"/>
      <c r="N220" s="38"/>
      <c r="O220" s="45"/>
      <c r="P220" s="52"/>
      <c r="Q220" s="52"/>
      <c r="R220" s="52"/>
      <c r="S220" s="52"/>
      <c r="T220" s="52"/>
      <c r="U220" s="17"/>
      <c r="V220" s="17"/>
      <c r="W220" s="17"/>
      <c r="X220" s="17"/>
      <c r="Y220" s="17"/>
      <c r="Z220" s="17"/>
      <c r="AA220" s="17"/>
      <c r="AB220" s="17"/>
      <c r="AC220" s="17"/>
    </row>
    <row r="221" spans="1:29" ht="30.75" hidden="1" customHeight="1">
      <c r="A221" s="38">
        <f t="shared" si="4"/>
        <v>88</v>
      </c>
      <c r="B221" s="38"/>
      <c r="C221" s="40"/>
      <c r="D221" s="40"/>
      <c r="E221" s="38"/>
      <c r="F221" s="38"/>
      <c r="G221" s="38"/>
      <c r="H221" s="38"/>
      <c r="I221" s="5"/>
      <c r="J221" s="5"/>
      <c r="K221" s="5"/>
      <c r="L221" s="38"/>
      <c r="M221" s="38"/>
      <c r="N221" s="38"/>
      <c r="O221" s="45"/>
      <c r="P221" s="52"/>
      <c r="Q221" s="52"/>
      <c r="R221" s="52"/>
      <c r="S221" s="52"/>
      <c r="T221" s="52"/>
      <c r="U221" s="17"/>
      <c r="V221" s="17"/>
      <c r="W221" s="17"/>
      <c r="X221" s="17"/>
      <c r="Y221" s="17"/>
      <c r="Z221" s="17"/>
      <c r="AA221" s="17"/>
      <c r="AB221" s="17"/>
      <c r="AC221" s="17"/>
    </row>
    <row r="222" spans="1:29" ht="30.75" hidden="1" customHeight="1">
      <c r="A222" s="38">
        <f t="shared" si="4"/>
        <v>89</v>
      </c>
      <c r="B222" s="38"/>
      <c r="C222" s="40"/>
      <c r="D222" s="40"/>
      <c r="E222" s="38"/>
      <c r="F222" s="38"/>
      <c r="G222" s="38"/>
      <c r="H222" s="38"/>
      <c r="I222" s="5"/>
      <c r="J222" s="5"/>
      <c r="K222" s="5"/>
      <c r="L222" s="38"/>
      <c r="M222" s="38"/>
      <c r="N222" s="38"/>
      <c r="O222" s="45"/>
      <c r="P222" s="52"/>
      <c r="Q222" s="52"/>
      <c r="R222" s="52"/>
      <c r="S222" s="52"/>
      <c r="T222" s="52"/>
      <c r="U222" s="17"/>
      <c r="V222" s="17"/>
      <c r="W222" s="17"/>
      <c r="X222" s="17"/>
      <c r="Y222" s="17"/>
      <c r="Z222" s="17"/>
      <c r="AA222" s="17"/>
      <c r="AB222" s="17"/>
      <c r="AC222" s="17"/>
    </row>
    <row r="223" spans="1:29" ht="30.75" hidden="1" customHeight="1">
      <c r="A223" s="38">
        <f t="shared" si="4"/>
        <v>90</v>
      </c>
      <c r="B223" s="38"/>
      <c r="C223" s="40"/>
      <c r="D223" s="40"/>
      <c r="E223" s="38"/>
      <c r="F223" s="38"/>
      <c r="G223" s="38"/>
      <c r="H223" s="38"/>
      <c r="I223" s="5"/>
      <c r="J223" s="5"/>
      <c r="K223" s="5"/>
      <c r="L223" s="38"/>
      <c r="M223" s="38"/>
      <c r="N223" s="38"/>
      <c r="O223" s="45"/>
      <c r="P223" s="52"/>
      <c r="Q223" s="52"/>
      <c r="R223" s="52"/>
      <c r="S223" s="52"/>
      <c r="T223" s="52"/>
      <c r="U223" s="17"/>
      <c r="V223" s="17"/>
      <c r="W223" s="17"/>
      <c r="X223" s="17"/>
      <c r="Y223" s="17"/>
      <c r="Z223" s="17"/>
      <c r="AA223" s="17"/>
      <c r="AB223" s="17"/>
      <c r="AC223" s="17"/>
    </row>
    <row r="224" spans="1:29" ht="30.75" hidden="1" customHeight="1">
      <c r="A224" s="38">
        <f t="shared" si="4"/>
        <v>91</v>
      </c>
      <c r="B224" s="38"/>
      <c r="C224" s="40"/>
      <c r="D224" s="40"/>
      <c r="E224" s="38"/>
      <c r="F224" s="38"/>
      <c r="G224" s="38"/>
      <c r="H224" s="38"/>
      <c r="I224" s="5"/>
      <c r="J224" s="5"/>
      <c r="K224" s="5"/>
      <c r="L224" s="38"/>
      <c r="M224" s="38"/>
      <c r="N224" s="38"/>
      <c r="O224" s="45"/>
      <c r="P224" s="52"/>
      <c r="Q224" s="52"/>
      <c r="R224" s="52"/>
      <c r="S224" s="52"/>
      <c r="T224" s="52"/>
      <c r="U224" s="17"/>
      <c r="V224" s="17"/>
      <c r="W224" s="17"/>
      <c r="X224" s="17"/>
      <c r="Y224" s="17"/>
      <c r="Z224" s="17"/>
      <c r="AA224" s="17"/>
      <c r="AB224" s="17"/>
      <c r="AC224" s="17"/>
    </row>
    <row r="225" spans="1:29" ht="30.75" hidden="1" customHeight="1">
      <c r="A225" s="38">
        <f t="shared" si="4"/>
        <v>92</v>
      </c>
      <c r="B225" s="38"/>
      <c r="C225" s="40"/>
      <c r="D225" s="40"/>
      <c r="E225" s="38"/>
      <c r="F225" s="38"/>
      <c r="G225" s="38"/>
      <c r="H225" s="38"/>
      <c r="I225" s="5"/>
      <c r="J225" s="5"/>
      <c r="K225" s="5"/>
      <c r="L225" s="38"/>
      <c r="M225" s="38"/>
      <c r="N225" s="38"/>
      <c r="O225" s="45"/>
      <c r="P225" s="52"/>
      <c r="Q225" s="52"/>
      <c r="R225" s="52"/>
      <c r="S225" s="52"/>
      <c r="T225" s="52"/>
      <c r="U225" s="17"/>
      <c r="V225" s="17"/>
      <c r="W225" s="17"/>
      <c r="X225" s="17"/>
      <c r="Y225" s="17"/>
      <c r="Z225" s="17"/>
      <c r="AA225" s="17"/>
      <c r="AB225" s="17"/>
      <c r="AC225" s="17"/>
    </row>
    <row r="226" spans="1:29" ht="30.75" hidden="1" customHeight="1">
      <c r="A226" s="38">
        <f t="shared" si="4"/>
        <v>93</v>
      </c>
      <c r="B226" s="38"/>
      <c r="C226" s="40"/>
      <c r="D226" s="40"/>
      <c r="E226" s="38"/>
      <c r="F226" s="38"/>
      <c r="G226" s="38"/>
      <c r="H226" s="38"/>
      <c r="I226" s="5"/>
      <c r="J226" s="5"/>
      <c r="K226" s="5"/>
      <c r="L226" s="38"/>
      <c r="M226" s="38"/>
      <c r="N226" s="38"/>
      <c r="O226" s="45"/>
      <c r="P226" s="52"/>
      <c r="Q226" s="52"/>
      <c r="R226" s="52"/>
      <c r="S226" s="52"/>
      <c r="T226" s="52"/>
      <c r="U226" s="17"/>
      <c r="V226" s="17"/>
      <c r="W226" s="17"/>
      <c r="X226" s="17"/>
      <c r="Y226" s="17"/>
      <c r="Z226" s="17"/>
      <c r="AA226" s="17"/>
      <c r="AB226" s="17"/>
      <c r="AC226" s="17"/>
    </row>
    <row r="227" spans="1:29" ht="30.75" hidden="1" customHeight="1">
      <c r="A227" s="38">
        <f t="shared" si="4"/>
        <v>94</v>
      </c>
      <c r="B227" s="38"/>
      <c r="C227" s="40"/>
      <c r="D227" s="40"/>
      <c r="E227" s="38"/>
      <c r="F227" s="38"/>
      <c r="G227" s="38"/>
      <c r="H227" s="38"/>
      <c r="I227" s="5"/>
      <c r="J227" s="5"/>
      <c r="K227" s="5"/>
      <c r="L227" s="38"/>
      <c r="M227" s="38"/>
      <c r="N227" s="38"/>
      <c r="O227" s="45"/>
      <c r="P227" s="52"/>
      <c r="Q227" s="52"/>
      <c r="R227" s="52"/>
      <c r="S227" s="52"/>
      <c r="T227" s="52"/>
      <c r="U227" s="17"/>
      <c r="V227" s="17"/>
      <c r="W227" s="17"/>
      <c r="X227" s="17"/>
      <c r="Y227" s="17"/>
      <c r="Z227" s="17"/>
      <c r="AA227" s="17"/>
      <c r="AB227" s="17"/>
      <c r="AC227" s="17"/>
    </row>
    <row r="228" spans="1:29" ht="30.75" hidden="1" customHeight="1">
      <c r="A228" s="38">
        <f t="shared" si="4"/>
        <v>95</v>
      </c>
      <c r="B228" s="38"/>
      <c r="C228" s="40"/>
      <c r="D228" s="40"/>
      <c r="E228" s="38"/>
      <c r="F228" s="38"/>
      <c r="G228" s="38"/>
      <c r="H228" s="38"/>
      <c r="I228" s="5"/>
      <c r="J228" s="5"/>
      <c r="K228" s="5"/>
      <c r="L228" s="38"/>
      <c r="M228" s="38"/>
      <c r="N228" s="38"/>
      <c r="O228" s="45"/>
      <c r="P228" s="52"/>
      <c r="Q228" s="52"/>
      <c r="R228" s="52"/>
      <c r="S228" s="52"/>
      <c r="T228" s="52"/>
      <c r="U228" s="17"/>
      <c r="V228" s="17"/>
      <c r="W228" s="17"/>
      <c r="X228" s="17"/>
      <c r="Y228" s="17"/>
      <c r="Z228" s="17"/>
      <c r="AA228" s="17"/>
      <c r="AB228" s="17"/>
      <c r="AC228" s="17"/>
    </row>
    <row r="229" spans="1:29" ht="30.75" hidden="1" customHeight="1">
      <c r="A229" s="38">
        <f t="shared" si="4"/>
        <v>96</v>
      </c>
      <c r="B229" s="38"/>
      <c r="C229" s="40"/>
      <c r="D229" s="40"/>
      <c r="E229" s="38"/>
      <c r="F229" s="38"/>
      <c r="G229" s="38"/>
      <c r="H229" s="38"/>
      <c r="I229" s="5"/>
      <c r="J229" s="5"/>
      <c r="K229" s="5"/>
      <c r="L229" s="38"/>
      <c r="M229" s="38"/>
      <c r="N229" s="38"/>
      <c r="O229" s="45"/>
      <c r="P229" s="52"/>
      <c r="Q229" s="52"/>
      <c r="R229" s="52"/>
      <c r="S229" s="52"/>
      <c r="T229" s="52"/>
      <c r="U229" s="17"/>
      <c r="V229" s="17"/>
      <c r="W229" s="17"/>
      <c r="X229" s="17"/>
      <c r="Y229" s="17"/>
      <c r="Z229" s="17"/>
      <c r="AA229" s="17"/>
      <c r="AB229" s="17"/>
      <c r="AC229" s="17"/>
    </row>
    <row r="230" spans="1:29" ht="30.75" hidden="1" customHeight="1">
      <c r="A230" s="38">
        <f t="shared" si="4"/>
        <v>97</v>
      </c>
      <c r="B230" s="38"/>
      <c r="C230" s="40"/>
      <c r="D230" s="40"/>
      <c r="E230" s="38"/>
      <c r="F230" s="38"/>
      <c r="G230" s="38"/>
      <c r="H230" s="38"/>
      <c r="I230" s="5"/>
      <c r="J230" s="5"/>
      <c r="K230" s="5"/>
      <c r="L230" s="38"/>
      <c r="M230" s="38"/>
      <c r="N230" s="38"/>
      <c r="O230" s="45"/>
      <c r="P230" s="52"/>
      <c r="Q230" s="52"/>
      <c r="R230" s="52"/>
      <c r="S230" s="52"/>
      <c r="T230" s="52"/>
      <c r="U230" s="17"/>
      <c r="V230" s="17"/>
      <c r="W230" s="17"/>
      <c r="X230" s="17"/>
      <c r="Y230" s="17"/>
      <c r="Z230" s="17"/>
      <c r="AA230" s="17"/>
      <c r="AB230" s="17"/>
      <c r="AC230" s="17"/>
    </row>
    <row r="231" spans="1:29" ht="30" customHeight="1">
      <c r="A231" s="38">
        <f t="shared" si="4"/>
        <v>98</v>
      </c>
      <c r="B231" s="38"/>
      <c r="C231" s="40"/>
      <c r="D231" s="40"/>
      <c r="E231" s="38"/>
      <c r="F231" s="38"/>
      <c r="G231" s="38"/>
      <c r="H231" s="38"/>
      <c r="I231" s="5"/>
      <c r="J231" s="5"/>
      <c r="K231" s="5"/>
      <c r="L231" s="38"/>
      <c r="M231" s="38"/>
      <c r="N231" s="38"/>
      <c r="O231" s="45"/>
      <c r="P231" s="52"/>
      <c r="Q231" s="52"/>
      <c r="R231" s="52"/>
      <c r="S231" s="52"/>
      <c r="T231" s="52"/>
      <c r="U231" s="17"/>
      <c r="V231" s="17"/>
      <c r="W231" s="17"/>
      <c r="X231" s="17"/>
      <c r="Y231" s="17"/>
      <c r="Z231" s="17"/>
      <c r="AA231" s="17"/>
      <c r="AB231" s="17"/>
      <c r="AC231" s="17"/>
    </row>
    <row r="232" spans="1:29" ht="30" customHeight="1">
      <c r="A232" s="38">
        <f t="shared" si="4"/>
        <v>99</v>
      </c>
      <c r="B232" s="38"/>
      <c r="C232" s="40"/>
      <c r="D232" s="40"/>
      <c r="E232" s="38"/>
      <c r="F232" s="38"/>
      <c r="G232" s="38"/>
      <c r="H232" s="38"/>
      <c r="I232" s="5"/>
      <c r="J232" s="5"/>
      <c r="K232" s="5"/>
      <c r="L232" s="38"/>
      <c r="M232" s="38"/>
      <c r="N232" s="38"/>
      <c r="O232" s="45"/>
      <c r="P232" s="52"/>
      <c r="Q232" s="52"/>
      <c r="R232" s="52"/>
      <c r="S232" s="52"/>
      <c r="T232" s="52"/>
      <c r="U232" s="17"/>
      <c r="V232" s="17"/>
      <c r="W232" s="17"/>
      <c r="X232" s="17"/>
      <c r="Y232" s="17"/>
      <c r="Z232" s="17"/>
      <c r="AA232" s="17"/>
      <c r="AB232" s="17"/>
      <c r="AC232" s="17"/>
    </row>
    <row r="233" spans="1:29" ht="30" customHeight="1">
      <c r="A233" s="38">
        <f t="shared" si="4"/>
        <v>100</v>
      </c>
      <c r="B233" s="38"/>
      <c r="C233" s="40"/>
      <c r="D233" s="40"/>
      <c r="E233" s="38"/>
      <c r="F233" s="38"/>
      <c r="G233" s="38"/>
      <c r="H233" s="38"/>
      <c r="I233" s="5"/>
      <c r="J233" s="5"/>
      <c r="K233" s="5"/>
      <c r="L233" s="38"/>
      <c r="M233" s="38"/>
      <c r="N233" s="38"/>
      <c r="O233" s="45"/>
      <c r="P233" s="52"/>
      <c r="Q233" s="52"/>
      <c r="R233" s="52"/>
      <c r="S233" s="52"/>
      <c r="T233" s="52"/>
      <c r="U233" s="17"/>
      <c r="V233" s="17"/>
      <c r="W233" s="17"/>
      <c r="X233" s="17"/>
      <c r="Y233" s="17"/>
      <c r="Z233" s="17"/>
      <c r="AA233" s="17"/>
      <c r="AB233" s="17"/>
      <c r="AC233" s="17"/>
    </row>
    <row r="234" spans="1:29" ht="15.75" customHeight="1">
      <c r="A234" s="17"/>
      <c r="B234" s="120"/>
      <c r="C234" s="120"/>
      <c r="D234" s="120"/>
      <c r="E234" s="120"/>
      <c r="F234" s="120"/>
      <c r="G234" s="120"/>
      <c r="H234" s="120"/>
      <c r="I234" s="5"/>
      <c r="J234" s="6"/>
      <c r="K234" s="5"/>
      <c r="L234" s="120"/>
      <c r="M234" s="120"/>
      <c r="N234" s="120"/>
      <c r="O234" s="18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spans="1:29" ht="15.75" customHeight="1">
      <c r="A235" s="17"/>
      <c r="B235" s="120"/>
      <c r="C235" s="120"/>
      <c r="D235" s="120"/>
      <c r="E235" s="120"/>
      <c r="F235" s="120"/>
      <c r="G235" s="120"/>
      <c r="H235" s="120"/>
      <c r="I235" s="5"/>
      <c r="J235" s="6"/>
      <c r="K235" s="5"/>
      <c r="L235" s="120"/>
      <c r="M235" s="120"/>
      <c r="N235" s="120"/>
      <c r="O235" s="18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ht="15.75" customHeight="1">
      <c r="A236" s="17"/>
      <c r="B236" s="120"/>
      <c r="C236" s="120"/>
      <c r="D236" s="120"/>
      <c r="E236" s="120"/>
      <c r="F236" s="120"/>
      <c r="G236" s="120"/>
      <c r="H236" s="120"/>
      <c r="I236" s="5"/>
      <c r="J236" s="6"/>
      <c r="K236" s="5"/>
      <c r="L236" s="120"/>
      <c r="M236" s="120"/>
      <c r="N236" s="120"/>
      <c r="O236" s="18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spans="1:29" ht="15.75" customHeight="1">
      <c r="A237" s="17"/>
      <c r="B237" s="120"/>
      <c r="C237" s="120"/>
      <c r="D237" s="120"/>
      <c r="E237" s="120"/>
      <c r="F237" s="120"/>
      <c r="G237" s="120"/>
      <c r="H237" s="120"/>
      <c r="I237" s="5"/>
      <c r="J237" s="6"/>
      <c r="K237" s="5"/>
      <c r="L237" s="120"/>
      <c r="M237" s="120"/>
      <c r="N237" s="120"/>
      <c r="O237" s="18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spans="1:29" ht="15.75" customHeight="1">
      <c r="A238" s="17"/>
      <c r="B238" s="120"/>
      <c r="C238" s="120"/>
      <c r="D238" s="120"/>
      <c r="E238" s="120"/>
      <c r="F238" s="120"/>
      <c r="G238" s="120"/>
      <c r="H238" s="120"/>
      <c r="I238" s="5"/>
      <c r="J238" s="6"/>
      <c r="K238" s="5"/>
      <c r="L238" s="120"/>
      <c r="M238" s="120"/>
      <c r="N238" s="120"/>
      <c r="O238" s="18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spans="1:29" ht="15.75" customHeight="1">
      <c r="A239" s="17"/>
      <c r="B239" s="120"/>
      <c r="C239" s="120"/>
      <c r="D239" s="120"/>
      <c r="E239" s="120"/>
      <c r="F239" s="120"/>
      <c r="G239" s="120"/>
      <c r="H239" s="120"/>
      <c r="I239" s="5"/>
      <c r="J239" s="6"/>
      <c r="K239" s="5"/>
      <c r="L239" s="120"/>
      <c r="M239" s="120"/>
      <c r="N239" s="120"/>
      <c r="O239" s="18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spans="1:29" ht="15.75" customHeight="1">
      <c r="A240" s="17"/>
      <c r="B240" s="120"/>
      <c r="C240" s="120"/>
      <c r="D240" s="120"/>
      <c r="E240" s="120"/>
      <c r="F240" s="120"/>
      <c r="G240" s="120"/>
      <c r="H240" s="120"/>
      <c r="I240" s="5"/>
      <c r="J240" s="6"/>
      <c r="K240" s="5"/>
      <c r="L240" s="120"/>
      <c r="M240" s="120"/>
      <c r="N240" s="120"/>
      <c r="O240" s="18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spans="1:29" ht="15.75" customHeight="1">
      <c r="A241" s="17"/>
      <c r="B241" s="120"/>
      <c r="C241" s="120"/>
      <c r="D241" s="120"/>
      <c r="E241" s="120"/>
      <c r="F241" s="120"/>
      <c r="G241" s="120"/>
      <c r="H241" s="120"/>
      <c r="I241" s="5"/>
      <c r="J241" s="6"/>
      <c r="K241" s="5"/>
      <c r="L241" s="120"/>
      <c r="M241" s="120"/>
      <c r="N241" s="120"/>
      <c r="O241" s="18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spans="1:29" ht="15.75" customHeight="1">
      <c r="A242" s="17"/>
      <c r="B242" s="120"/>
      <c r="C242" s="120"/>
      <c r="D242" s="120"/>
      <c r="E242" s="120"/>
      <c r="F242" s="120"/>
      <c r="G242" s="120"/>
      <c r="H242" s="120"/>
      <c r="I242" s="5"/>
      <c r="J242" s="6"/>
      <c r="K242" s="5"/>
      <c r="L242" s="120"/>
      <c r="M242" s="120"/>
      <c r="N242" s="120"/>
      <c r="O242" s="18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spans="1:29" ht="15.75" customHeight="1">
      <c r="A243" s="17"/>
      <c r="B243" s="120"/>
      <c r="C243" s="120"/>
      <c r="D243" s="120"/>
      <c r="E243" s="120"/>
      <c r="F243" s="120"/>
      <c r="G243" s="120"/>
      <c r="H243" s="120"/>
      <c r="I243" s="5"/>
      <c r="J243" s="6"/>
      <c r="K243" s="5"/>
      <c r="L243" s="120"/>
      <c r="M243" s="120"/>
      <c r="N243" s="120"/>
      <c r="O243" s="18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spans="1:29" ht="15.75" customHeight="1">
      <c r="A244" s="17"/>
      <c r="B244" s="120"/>
      <c r="C244" s="120"/>
      <c r="D244" s="120"/>
      <c r="E244" s="120"/>
      <c r="F244" s="120"/>
      <c r="G244" s="120"/>
      <c r="H244" s="120"/>
      <c r="I244" s="5"/>
      <c r="J244" s="6"/>
      <c r="K244" s="5"/>
      <c r="L244" s="120"/>
      <c r="M244" s="120"/>
      <c r="N244" s="120"/>
      <c r="O244" s="18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spans="1:29" ht="15.75" customHeight="1">
      <c r="A245" s="17"/>
      <c r="B245" s="120"/>
      <c r="C245" s="120"/>
      <c r="D245" s="120"/>
      <c r="E245" s="120"/>
      <c r="F245" s="120"/>
      <c r="G245" s="120"/>
      <c r="H245" s="120"/>
      <c r="I245" s="5"/>
      <c r="J245" s="6"/>
      <c r="K245" s="5"/>
      <c r="L245" s="120"/>
      <c r="M245" s="120"/>
      <c r="N245" s="120"/>
      <c r="O245" s="18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spans="1:29" ht="15.75" customHeight="1">
      <c r="A246" s="17"/>
      <c r="B246" s="120"/>
      <c r="C246" s="120"/>
      <c r="D246" s="120"/>
      <c r="E246" s="120"/>
      <c r="F246" s="120"/>
      <c r="G246" s="120"/>
      <c r="H246" s="120"/>
      <c r="I246" s="5"/>
      <c r="J246" s="6"/>
      <c r="K246" s="5"/>
      <c r="L246" s="120"/>
      <c r="M246" s="120"/>
      <c r="N246" s="120"/>
      <c r="O246" s="18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spans="1:29" ht="15.75" customHeight="1">
      <c r="A247" s="17"/>
      <c r="B247" s="120"/>
      <c r="C247" s="120"/>
      <c r="D247" s="120"/>
      <c r="E247" s="120"/>
      <c r="F247" s="120"/>
      <c r="G247" s="120"/>
      <c r="H247" s="120"/>
      <c r="I247" s="5"/>
      <c r="J247" s="6"/>
      <c r="K247" s="5"/>
      <c r="L247" s="120"/>
      <c r="M247" s="120"/>
      <c r="N247" s="120"/>
      <c r="O247" s="18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spans="1:29" ht="15.75" customHeight="1">
      <c r="A248" s="17"/>
      <c r="B248" s="120"/>
      <c r="C248" s="120"/>
      <c r="D248" s="120"/>
      <c r="E248" s="120"/>
      <c r="F248" s="120"/>
      <c r="G248" s="120"/>
      <c r="H248" s="120"/>
      <c r="I248" s="5"/>
      <c r="J248" s="6"/>
      <c r="K248" s="5"/>
      <c r="L248" s="120"/>
      <c r="M248" s="120"/>
      <c r="N248" s="120"/>
      <c r="O248" s="18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spans="1:29" ht="15.75" customHeight="1">
      <c r="A249" s="17"/>
      <c r="B249" s="120"/>
      <c r="C249" s="120"/>
      <c r="D249" s="120"/>
      <c r="E249" s="120"/>
      <c r="F249" s="120"/>
      <c r="G249" s="120"/>
      <c r="H249" s="120"/>
      <c r="I249" s="5"/>
      <c r="J249" s="6"/>
      <c r="K249" s="5"/>
      <c r="L249" s="120"/>
      <c r="M249" s="120"/>
      <c r="N249" s="120"/>
      <c r="O249" s="18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spans="1:29" ht="15.75" customHeight="1">
      <c r="A250" s="17"/>
      <c r="B250" s="120"/>
      <c r="C250" s="120"/>
      <c r="D250" s="120"/>
      <c r="E250" s="120"/>
      <c r="F250" s="120"/>
      <c r="G250" s="120"/>
      <c r="H250" s="120"/>
      <c r="I250" s="5"/>
      <c r="J250" s="6"/>
      <c r="K250" s="5"/>
      <c r="L250" s="120"/>
      <c r="M250" s="120"/>
      <c r="N250" s="120"/>
      <c r="O250" s="18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spans="1:29" ht="15.75" customHeight="1">
      <c r="A251" s="17"/>
      <c r="B251" s="120"/>
      <c r="C251" s="120"/>
      <c r="D251" s="120"/>
      <c r="E251" s="120"/>
      <c r="F251" s="120"/>
      <c r="G251" s="120"/>
      <c r="H251" s="120"/>
      <c r="I251" s="5"/>
      <c r="J251" s="6"/>
      <c r="K251" s="5"/>
      <c r="L251" s="120"/>
      <c r="M251" s="120"/>
      <c r="N251" s="120"/>
      <c r="O251" s="18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spans="1:29" ht="15.75" customHeight="1">
      <c r="A252" s="17"/>
      <c r="B252" s="120"/>
      <c r="C252" s="120"/>
      <c r="D252" s="120"/>
      <c r="E252" s="120"/>
      <c r="F252" s="120"/>
      <c r="G252" s="120"/>
      <c r="H252" s="120"/>
      <c r="I252" s="5"/>
      <c r="J252" s="6"/>
      <c r="K252" s="5"/>
      <c r="L252" s="120"/>
      <c r="M252" s="120"/>
      <c r="N252" s="120"/>
      <c r="O252" s="18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spans="1:29" ht="15.75" customHeight="1">
      <c r="A253" s="17"/>
      <c r="B253" s="120"/>
      <c r="C253" s="120"/>
      <c r="D253" s="120"/>
      <c r="E253" s="120"/>
      <c r="F253" s="120"/>
      <c r="G253" s="120"/>
      <c r="H253" s="120"/>
      <c r="I253" s="5"/>
      <c r="J253" s="6"/>
      <c r="K253" s="5"/>
      <c r="L253" s="120"/>
      <c r="M253" s="120"/>
      <c r="N253" s="120"/>
      <c r="O253" s="18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spans="1:29" ht="15.75" customHeight="1">
      <c r="A254" s="17"/>
      <c r="B254" s="120"/>
      <c r="C254" s="120"/>
      <c r="D254" s="120"/>
      <c r="E254" s="120"/>
      <c r="F254" s="120"/>
      <c r="G254" s="120"/>
      <c r="H254" s="120"/>
      <c r="I254" s="5"/>
      <c r="J254" s="6"/>
      <c r="K254" s="5"/>
      <c r="L254" s="120"/>
      <c r="M254" s="120"/>
      <c r="N254" s="120"/>
      <c r="O254" s="18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spans="1:29" ht="15.75" customHeight="1">
      <c r="A255" s="17"/>
      <c r="B255" s="120"/>
      <c r="C255" s="120"/>
      <c r="D255" s="120"/>
      <c r="E255" s="120"/>
      <c r="F255" s="120"/>
      <c r="G255" s="120"/>
      <c r="H255" s="120"/>
      <c r="I255" s="5"/>
      <c r="J255" s="6"/>
      <c r="K255" s="5"/>
      <c r="L255" s="120"/>
      <c r="M255" s="120"/>
      <c r="N255" s="120"/>
      <c r="O255" s="18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spans="1:29" ht="15.75" customHeight="1">
      <c r="A256" s="17"/>
      <c r="B256" s="120"/>
      <c r="C256" s="120"/>
      <c r="D256" s="120"/>
      <c r="E256" s="120"/>
      <c r="F256" s="120"/>
      <c r="G256" s="120"/>
      <c r="H256" s="120"/>
      <c r="I256" s="5"/>
      <c r="J256" s="6"/>
      <c r="K256" s="5"/>
      <c r="L256" s="120"/>
      <c r="M256" s="120"/>
      <c r="N256" s="120"/>
      <c r="O256" s="18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spans="1:29" ht="15.75" customHeight="1">
      <c r="A257" s="17"/>
      <c r="B257" s="120"/>
      <c r="C257" s="120"/>
      <c r="D257" s="120"/>
      <c r="E257" s="120"/>
      <c r="F257" s="120"/>
      <c r="G257" s="120"/>
      <c r="H257" s="120"/>
      <c r="I257" s="5"/>
      <c r="J257" s="6"/>
      <c r="K257" s="5"/>
      <c r="L257" s="120"/>
      <c r="M257" s="120"/>
      <c r="N257" s="120"/>
      <c r="O257" s="18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spans="1:29" ht="15.75" customHeight="1">
      <c r="A258" s="17"/>
      <c r="B258" s="120"/>
      <c r="C258" s="120"/>
      <c r="D258" s="120"/>
      <c r="E258" s="120"/>
      <c r="F258" s="120"/>
      <c r="G258" s="120"/>
      <c r="H258" s="120"/>
      <c r="I258" s="5"/>
      <c r="J258" s="6"/>
      <c r="K258" s="5"/>
      <c r="L258" s="120"/>
      <c r="M258" s="120"/>
      <c r="N258" s="120"/>
      <c r="O258" s="18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spans="1:29" ht="15.75" customHeight="1">
      <c r="A259" s="17"/>
      <c r="B259" s="120"/>
      <c r="C259" s="120"/>
      <c r="D259" s="120"/>
      <c r="E259" s="120"/>
      <c r="F259" s="120"/>
      <c r="G259" s="120"/>
      <c r="H259" s="120"/>
      <c r="I259" s="5"/>
      <c r="J259" s="6"/>
      <c r="K259" s="5"/>
      <c r="L259" s="120"/>
      <c r="M259" s="120"/>
      <c r="N259" s="120"/>
      <c r="O259" s="18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spans="1:29" ht="15.75" customHeight="1">
      <c r="A260" s="17"/>
      <c r="B260" s="120"/>
      <c r="C260" s="120"/>
      <c r="D260" s="120"/>
      <c r="E260" s="120"/>
      <c r="F260" s="120"/>
      <c r="G260" s="120"/>
      <c r="H260" s="120"/>
      <c r="I260" s="5"/>
      <c r="J260" s="6"/>
      <c r="K260" s="5"/>
      <c r="L260" s="120"/>
      <c r="M260" s="120"/>
      <c r="N260" s="120"/>
      <c r="O260" s="18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 ht="15.75" customHeight="1">
      <c r="A261" s="17"/>
      <c r="B261" s="120"/>
      <c r="C261" s="120"/>
      <c r="D261" s="120"/>
      <c r="E261" s="120"/>
      <c r="F261" s="120"/>
      <c r="G261" s="120"/>
      <c r="H261" s="120"/>
      <c r="I261" s="5"/>
      <c r="J261" s="6"/>
      <c r="K261" s="5"/>
      <c r="L261" s="120"/>
      <c r="M261" s="120"/>
      <c r="N261" s="120"/>
      <c r="O261" s="18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spans="1:29" ht="15.75" customHeight="1">
      <c r="A262" s="17"/>
      <c r="B262" s="120"/>
      <c r="C262" s="120"/>
      <c r="D262" s="120"/>
      <c r="E262" s="120"/>
      <c r="F262" s="120"/>
      <c r="G262" s="120"/>
      <c r="H262" s="120"/>
      <c r="I262" s="5"/>
      <c r="J262" s="6"/>
      <c r="K262" s="5"/>
      <c r="L262" s="120"/>
      <c r="M262" s="120"/>
      <c r="N262" s="120"/>
      <c r="O262" s="18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spans="1:29" ht="15.75" customHeight="1">
      <c r="A263" s="17"/>
      <c r="B263" s="120"/>
      <c r="C263" s="120"/>
      <c r="D263" s="120"/>
      <c r="E263" s="120"/>
      <c r="F263" s="120"/>
      <c r="G263" s="120"/>
      <c r="H263" s="120"/>
      <c r="I263" s="5"/>
      <c r="J263" s="6"/>
      <c r="K263" s="5"/>
      <c r="L263" s="120"/>
      <c r="M263" s="120"/>
      <c r="N263" s="120"/>
      <c r="O263" s="18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spans="1:29" ht="15.75" customHeight="1">
      <c r="A264" s="17"/>
      <c r="B264" s="120"/>
      <c r="C264" s="120"/>
      <c r="D264" s="120"/>
      <c r="E264" s="120"/>
      <c r="F264" s="120"/>
      <c r="G264" s="120"/>
      <c r="H264" s="120"/>
      <c r="I264" s="5"/>
      <c r="J264" s="6"/>
      <c r="K264" s="5"/>
      <c r="L264" s="120"/>
      <c r="M264" s="120"/>
      <c r="N264" s="120"/>
      <c r="O264" s="18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spans="1:29" ht="15.75" customHeight="1">
      <c r="A265" s="17"/>
      <c r="B265" s="120"/>
      <c r="C265" s="120"/>
      <c r="D265" s="120"/>
      <c r="E265" s="120"/>
      <c r="F265" s="120"/>
      <c r="G265" s="120"/>
      <c r="H265" s="120"/>
      <c r="I265" s="5"/>
      <c r="J265" s="6"/>
      <c r="K265" s="5"/>
      <c r="L265" s="120"/>
      <c r="M265" s="120"/>
      <c r="N265" s="120"/>
      <c r="O265" s="18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spans="1:29" ht="15.75" customHeight="1">
      <c r="A266" s="17"/>
      <c r="B266" s="120"/>
      <c r="C266" s="120"/>
      <c r="D266" s="120"/>
      <c r="E266" s="120"/>
      <c r="F266" s="120"/>
      <c r="G266" s="120"/>
      <c r="H266" s="120"/>
      <c r="I266" s="5"/>
      <c r="J266" s="6"/>
      <c r="K266" s="5"/>
      <c r="L266" s="120"/>
      <c r="M266" s="120"/>
      <c r="N266" s="120"/>
      <c r="O266" s="18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spans="1:29" ht="15.75" customHeight="1">
      <c r="A267" s="17"/>
      <c r="B267" s="120"/>
      <c r="C267" s="120"/>
      <c r="D267" s="120"/>
      <c r="E267" s="120"/>
      <c r="F267" s="120"/>
      <c r="G267" s="120"/>
      <c r="H267" s="120"/>
      <c r="I267" s="5"/>
      <c r="J267" s="6"/>
      <c r="K267" s="5"/>
      <c r="L267" s="120"/>
      <c r="M267" s="120"/>
      <c r="N267" s="120"/>
      <c r="O267" s="18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spans="1:29" ht="15.75" customHeight="1">
      <c r="A268" s="17"/>
      <c r="B268" s="120"/>
      <c r="C268" s="120"/>
      <c r="D268" s="120"/>
      <c r="E268" s="120"/>
      <c r="F268" s="120"/>
      <c r="G268" s="120"/>
      <c r="H268" s="120"/>
      <c r="I268" s="5"/>
      <c r="J268" s="6"/>
      <c r="K268" s="5"/>
      <c r="L268" s="120"/>
      <c r="M268" s="120"/>
      <c r="N268" s="120"/>
      <c r="O268" s="18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spans="1:29" ht="15.75" customHeight="1">
      <c r="A269" s="17"/>
      <c r="B269" s="120"/>
      <c r="C269" s="120"/>
      <c r="D269" s="120"/>
      <c r="E269" s="120"/>
      <c r="F269" s="120"/>
      <c r="G269" s="120"/>
      <c r="H269" s="120"/>
      <c r="I269" s="5"/>
      <c r="J269" s="6"/>
      <c r="K269" s="5"/>
      <c r="L269" s="120"/>
      <c r="M269" s="120"/>
      <c r="N269" s="120"/>
      <c r="O269" s="18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spans="1:29" ht="15.75" customHeight="1">
      <c r="A270" s="17"/>
      <c r="B270" s="120"/>
      <c r="C270" s="120"/>
      <c r="D270" s="120"/>
      <c r="E270" s="120"/>
      <c r="F270" s="120"/>
      <c r="G270" s="120"/>
      <c r="H270" s="120"/>
      <c r="I270" s="5"/>
      <c r="J270" s="6"/>
      <c r="K270" s="5"/>
      <c r="L270" s="120"/>
      <c r="M270" s="120"/>
      <c r="N270" s="120"/>
      <c r="O270" s="18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spans="1:29" ht="15.75" customHeight="1">
      <c r="A271" s="17"/>
      <c r="B271" s="120"/>
      <c r="C271" s="120"/>
      <c r="D271" s="120"/>
      <c r="E271" s="120"/>
      <c r="F271" s="120"/>
      <c r="G271" s="120"/>
      <c r="H271" s="120"/>
      <c r="I271" s="5"/>
      <c r="J271" s="6"/>
      <c r="K271" s="5"/>
      <c r="L271" s="120"/>
      <c r="M271" s="120"/>
      <c r="N271" s="120"/>
      <c r="O271" s="18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spans="1:29" ht="15.75" customHeight="1">
      <c r="A272" s="17"/>
      <c r="B272" s="120"/>
      <c r="C272" s="120"/>
      <c r="D272" s="120"/>
      <c r="E272" s="120"/>
      <c r="F272" s="120"/>
      <c r="G272" s="120"/>
      <c r="H272" s="120"/>
      <c r="I272" s="5"/>
      <c r="J272" s="6"/>
      <c r="K272" s="5"/>
      <c r="L272" s="120"/>
      <c r="M272" s="120"/>
      <c r="N272" s="120"/>
      <c r="O272" s="18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spans="1:29" ht="15.75" customHeight="1">
      <c r="A273" s="17"/>
      <c r="B273" s="120"/>
      <c r="C273" s="120"/>
      <c r="D273" s="120"/>
      <c r="E273" s="120"/>
      <c r="F273" s="120"/>
      <c r="G273" s="120"/>
      <c r="H273" s="120"/>
      <c r="I273" s="5"/>
      <c r="J273" s="6"/>
      <c r="K273" s="5"/>
      <c r="L273" s="120"/>
      <c r="M273" s="120"/>
      <c r="N273" s="120"/>
      <c r="O273" s="18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spans="1:29" ht="15.75" customHeight="1">
      <c r="A274" s="17"/>
      <c r="B274" s="120"/>
      <c r="C274" s="120"/>
      <c r="D274" s="120"/>
      <c r="E274" s="120"/>
      <c r="F274" s="120"/>
      <c r="G274" s="120"/>
      <c r="H274" s="120"/>
      <c r="I274" s="5"/>
      <c r="J274" s="6"/>
      <c r="K274" s="5"/>
      <c r="L274" s="120"/>
      <c r="M274" s="120"/>
      <c r="N274" s="120"/>
      <c r="O274" s="18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spans="1:29" ht="15.75" customHeight="1">
      <c r="A275" s="17"/>
      <c r="B275" s="120"/>
      <c r="C275" s="120"/>
      <c r="D275" s="120"/>
      <c r="E275" s="120"/>
      <c r="F275" s="120"/>
      <c r="G275" s="120"/>
      <c r="H275" s="120"/>
      <c r="I275" s="5"/>
      <c r="J275" s="6"/>
      <c r="K275" s="5"/>
      <c r="L275" s="120"/>
      <c r="M275" s="120"/>
      <c r="N275" s="120"/>
      <c r="O275" s="18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spans="1:29" ht="15.75" customHeight="1">
      <c r="A276" s="185"/>
      <c r="B276" s="189"/>
      <c r="C276" s="189"/>
      <c r="D276" s="189"/>
      <c r="E276" s="189"/>
      <c r="F276" s="189"/>
      <c r="G276" s="189"/>
      <c r="H276" s="189"/>
      <c r="I276" s="5"/>
      <c r="J276" s="6"/>
      <c r="K276" s="5"/>
      <c r="L276" s="189"/>
      <c r="M276" s="189"/>
      <c r="N276" s="189"/>
      <c r="O276" s="190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  <c r="AA276" s="185"/>
      <c r="AB276" s="185"/>
      <c r="AC276" s="185"/>
    </row>
    <row r="277" spans="1:29" ht="15.75" customHeight="1">
      <c r="A277" s="185"/>
      <c r="B277" s="189"/>
      <c r="C277" s="189"/>
      <c r="D277" s="189"/>
      <c r="E277" s="189"/>
      <c r="F277" s="189"/>
      <c r="G277" s="189"/>
      <c r="H277" s="189"/>
      <c r="I277" s="5"/>
      <c r="J277" s="6"/>
      <c r="K277" s="5"/>
      <c r="L277" s="189"/>
      <c r="M277" s="189"/>
      <c r="N277" s="189"/>
      <c r="O277" s="190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  <c r="AB277" s="185"/>
      <c r="AC277" s="185"/>
    </row>
    <row r="278" spans="1:29" ht="15.75" customHeight="1">
      <c r="A278" s="185"/>
      <c r="B278" s="189"/>
      <c r="C278" s="189"/>
      <c r="D278" s="189"/>
      <c r="E278" s="189"/>
      <c r="F278" s="189"/>
      <c r="G278" s="189"/>
      <c r="H278" s="189"/>
      <c r="I278" s="5"/>
      <c r="J278" s="6"/>
      <c r="K278" s="5"/>
      <c r="L278" s="189"/>
      <c r="M278" s="189"/>
      <c r="N278" s="189"/>
      <c r="O278" s="190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  <c r="AB278" s="185"/>
      <c r="AC278" s="185"/>
    </row>
    <row r="279" spans="1:29" ht="15.75" customHeight="1">
      <c r="A279" s="185"/>
      <c r="B279" s="189"/>
      <c r="C279" s="189"/>
      <c r="D279" s="189"/>
      <c r="E279" s="189"/>
      <c r="F279" s="189"/>
      <c r="G279" s="189"/>
      <c r="H279" s="189"/>
      <c r="I279" s="5"/>
      <c r="J279" s="6"/>
      <c r="K279" s="5"/>
      <c r="L279" s="189"/>
      <c r="M279" s="189"/>
      <c r="N279" s="189"/>
      <c r="O279" s="190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185"/>
    </row>
    <row r="280" spans="1:29" ht="15.75" customHeight="1">
      <c r="A280" s="185"/>
      <c r="B280" s="189"/>
      <c r="C280" s="189"/>
      <c r="D280" s="189"/>
      <c r="E280" s="189"/>
      <c r="F280" s="189"/>
      <c r="G280" s="189"/>
      <c r="H280" s="189"/>
      <c r="I280" s="5"/>
      <c r="J280" s="6"/>
      <c r="K280" s="5"/>
      <c r="L280" s="189"/>
      <c r="M280" s="189"/>
      <c r="N280" s="189"/>
      <c r="O280" s="190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  <c r="AA280" s="185"/>
      <c r="AB280" s="185"/>
      <c r="AC280" s="185"/>
    </row>
    <row r="281" spans="1:29" ht="15.75" customHeight="1">
      <c r="A281" s="185"/>
      <c r="B281" s="189"/>
      <c r="C281" s="189"/>
      <c r="D281" s="189"/>
      <c r="E281" s="189"/>
      <c r="F281" s="189"/>
      <c r="G281" s="189"/>
      <c r="H281" s="189"/>
      <c r="I281" s="5"/>
      <c r="J281" s="6"/>
      <c r="K281" s="5"/>
      <c r="L281" s="189"/>
      <c r="M281" s="189"/>
      <c r="N281" s="189"/>
      <c r="O281" s="190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  <c r="AA281" s="185"/>
      <c r="AB281" s="185"/>
      <c r="AC281" s="185"/>
    </row>
    <row r="282" spans="1:29" ht="15.75" customHeight="1">
      <c r="A282" s="185"/>
      <c r="B282" s="189"/>
      <c r="C282" s="189"/>
      <c r="D282" s="189"/>
      <c r="E282" s="189"/>
      <c r="F282" s="189"/>
      <c r="G282" s="189"/>
      <c r="H282" s="189"/>
      <c r="I282" s="5"/>
      <c r="J282" s="6"/>
      <c r="K282" s="5"/>
      <c r="L282" s="189"/>
      <c r="M282" s="189"/>
      <c r="N282" s="189"/>
      <c r="O282" s="190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  <c r="AB282" s="185"/>
      <c r="AC282" s="185"/>
    </row>
    <row r="283" spans="1:29" ht="15.75" customHeight="1">
      <c r="A283" s="185"/>
      <c r="B283" s="189"/>
      <c r="C283" s="189"/>
      <c r="D283" s="189"/>
      <c r="E283" s="189"/>
      <c r="F283" s="189"/>
      <c r="G283" s="189"/>
      <c r="H283" s="189"/>
      <c r="I283" s="5"/>
      <c r="J283" s="6"/>
      <c r="K283" s="5"/>
      <c r="L283" s="189"/>
      <c r="M283" s="189"/>
      <c r="N283" s="189"/>
      <c r="O283" s="190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  <c r="AA283" s="185"/>
      <c r="AB283" s="185"/>
      <c r="AC283" s="185"/>
    </row>
    <row r="284" spans="1:29" ht="15.75" customHeight="1">
      <c r="A284" s="185"/>
      <c r="B284" s="189"/>
      <c r="C284" s="189"/>
      <c r="D284" s="189"/>
      <c r="E284" s="189"/>
      <c r="F284" s="189"/>
      <c r="G284" s="189"/>
      <c r="H284" s="189"/>
      <c r="I284" s="5"/>
      <c r="J284" s="6"/>
      <c r="K284" s="5"/>
      <c r="L284" s="189"/>
      <c r="M284" s="189"/>
      <c r="N284" s="189"/>
      <c r="O284" s="190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  <c r="AA284" s="185"/>
      <c r="AB284" s="185"/>
      <c r="AC284" s="185"/>
    </row>
    <row r="285" spans="1:29" ht="15.75" customHeight="1">
      <c r="A285" s="185"/>
      <c r="B285" s="189"/>
      <c r="C285" s="189"/>
      <c r="D285" s="189"/>
      <c r="E285" s="189"/>
      <c r="F285" s="189"/>
      <c r="G285" s="189"/>
      <c r="H285" s="189"/>
      <c r="I285" s="5"/>
      <c r="J285" s="6"/>
      <c r="K285" s="5"/>
      <c r="L285" s="189"/>
      <c r="M285" s="189"/>
      <c r="N285" s="189"/>
      <c r="O285" s="190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  <c r="AA285" s="185"/>
      <c r="AB285" s="185"/>
      <c r="AC285" s="185"/>
    </row>
    <row r="286" spans="1:29" ht="15.75" customHeight="1">
      <c r="A286" s="185"/>
      <c r="B286" s="189"/>
      <c r="C286" s="189"/>
      <c r="D286" s="189"/>
      <c r="E286" s="189"/>
      <c r="F286" s="189"/>
      <c r="G286" s="189"/>
      <c r="H286" s="189"/>
      <c r="I286" s="5"/>
      <c r="J286" s="6"/>
      <c r="K286" s="5"/>
      <c r="L286" s="189"/>
      <c r="M286" s="189"/>
      <c r="N286" s="189"/>
      <c r="O286" s="190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  <c r="AA286" s="185"/>
      <c r="AB286" s="185"/>
      <c r="AC286" s="185"/>
    </row>
    <row r="287" spans="1:29" ht="15.75" customHeight="1">
      <c r="A287" s="185"/>
      <c r="B287" s="189"/>
      <c r="C287" s="189"/>
      <c r="D287" s="189"/>
      <c r="E287" s="189"/>
      <c r="F287" s="189"/>
      <c r="G287" s="189"/>
      <c r="H287" s="189"/>
      <c r="I287" s="5"/>
      <c r="J287" s="6"/>
      <c r="K287" s="5"/>
      <c r="L287" s="189"/>
      <c r="M287" s="189"/>
      <c r="N287" s="189"/>
      <c r="O287" s="190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  <c r="AA287" s="185"/>
      <c r="AB287" s="185"/>
      <c r="AC287" s="185"/>
    </row>
    <row r="288" spans="1:29" ht="15.75" customHeight="1">
      <c r="A288" s="185"/>
      <c r="B288" s="189"/>
      <c r="C288" s="189"/>
      <c r="D288" s="189"/>
      <c r="E288" s="189"/>
      <c r="F288" s="189"/>
      <c r="G288" s="189"/>
      <c r="H288" s="189"/>
      <c r="I288" s="5"/>
      <c r="J288" s="6"/>
      <c r="K288" s="5"/>
      <c r="L288" s="189"/>
      <c r="M288" s="189"/>
      <c r="N288" s="189"/>
      <c r="O288" s="190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  <c r="AB288" s="185"/>
      <c r="AC288" s="185"/>
    </row>
    <row r="289" spans="1:29" ht="15.75" customHeight="1">
      <c r="A289" s="185"/>
      <c r="B289" s="189"/>
      <c r="C289" s="189"/>
      <c r="D289" s="189"/>
      <c r="E289" s="189"/>
      <c r="F289" s="189"/>
      <c r="G289" s="189"/>
      <c r="H289" s="189"/>
      <c r="I289" s="5"/>
      <c r="J289" s="6"/>
      <c r="K289" s="5"/>
      <c r="L289" s="189"/>
      <c r="M289" s="189"/>
      <c r="N289" s="189"/>
      <c r="O289" s="190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  <c r="AA289" s="185"/>
      <c r="AB289" s="185"/>
      <c r="AC289" s="185"/>
    </row>
    <row r="290" spans="1:29" ht="15.75" customHeight="1">
      <c r="A290" s="185"/>
      <c r="B290" s="189"/>
      <c r="C290" s="189"/>
      <c r="D290" s="189"/>
      <c r="E290" s="189"/>
      <c r="F290" s="189"/>
      <c r="G290" s="189"/>
      <c r="H290" s="189"/>
      <c r="I290" s="5"/>
      <c r="J290" s="6"/>
      <c r="K290" s="5"/>
      <c r="L290" s="189"/>
      <c r="M290" s="189"/>
      <c r="N290" s="189"/>
      <c r="O290" s="190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  <c r="AA290" s="185"/>
      <c r="AB290" s="185"/>
      <c r="AC290" s="185"/>
    </row>
    <row r="291" spans="1:29" ht="15.75" customHeight="1">
      <c r="A291" s="185"/>
      <c r="B291" s="189"/>
      <c r="C291" s="189"/>
      <c r="D291" s="189"/>
      <c r="E291" s="189"/>
      <c r="F291" s="189"/>
      <c r="G291" s="189"/>
      <c r="H291" s="189"/>
      <c r="I291" s="5"/>
      <c r="J291" s="6"/>
      <c r="K291" s="5"/>
      <c r="L291" s="189"/>
      <c r="M291" s="189"/>
      <c r="N291" s="189"/>
      <c r="O291" s="190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  <c r="AA291" s="185"/>
      <c r="AB291" s="185"/>
      <c r="AC291" s="185"/>
    </row>
    <row r="292" spans="1:29" ht="15.75" customHeight="1">
      <c r="A292" s="185"/>
      <c r="B292" s="189"/>
      <c r="C292" s="189"/>
      <c r="D292" s="189"/>
      <c r="E292" s="189"/>
      <c r="F292" s="189"/>
      <c r="G292" s="189"/>
      <c r="H292" s="189"/>
      <c r="I292" s="5"/>
      <c r="J292" s="6"/>
      <c r="K292" s="5"/>
      <c r="L292" s="189"/>
      <c r="M292" s="189"/>
      <c r="N292" s="189"/>
      <c r="O292" s="190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  <c r="AA292" s="185"/>
      <c r="AB292" s="185"/>
      <c r="AC292" s="185"/>
    </row>
    <row r="293" spans="1:29" ht="15.75" customHeight="1">
      <c r="A293" s="185"/>
      <c r="B293" s="189"/>
      <c r="C293" s="189"/>
      <c r="D293" s="189"/>
      <c r="E293" s="189"/>
      <c r="F293" s="189"/>
      <c r="G293" s="189"/>
      <c r="H293" s="189"/>
      <c r="I293" s="5"/>
      <c r="J293" s="6"/>
      <c r="K293" s="5"/>
      <c r="L293" s="189"/>
      <c r="M293" s="189"/>
      <c r="N293" s="189"/>
      <c r="O293" s="190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  <c r="AA293" s="185"/>
      <c r="AB293" s="185"/>
      <c r="AC293" s="185"/>
    </row>
    <row r="294" spans="1:29" ht="15.75" customHeight="1">
      <c r="A294" s="185"/>
      <c r="B294" s="189"/>
      <c r="C294" s="189"/>
      <c r="D294" s="189"/>
      <c r="E294" s="189"/>
      <c r="F294" s="189"/>
      <c r="G294" s="189"/>
      <c r="H294" s="189"/>
      <c r="I294" s="5"/>
      <c r="J294" s="6"/>
      <c r="K294" s="5"/>
      <c r="L294" s="189"/>
      <c r="M294" s="189"/>
      <c r="N294" s="189"/>
      <c r="O294" s="190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  <c r="AA294" s="185"/>
      <c r="AB294" s="185"/>
      <c r="AC294" s="185"/>
    </row>
    <row r="295" spans="1:29" ht="15.75" customHeight="1">
      <c r="A295" s="185"/>
      <c r="B295" s="189"/>
      <c r="C295" s="189"/>
      <c r="D295" s="189"/>
      <c r="E295" s="189"/>
      <c r="F295" s="189"/>
      <c r="G295" s="189"/>
      <c r="H295" s="189"/>
      <c r="I295" s="5"/>
      <c r="J295" s="6"/>
      <c r="K295" s="5"/>
      <c r="L295" s="189"/>
      <c r="M295" s="189"/>
      <c r="N295" s="189"/>
      <c r="O295" s="190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  <c r="AA295" s="185"/>
      <c r="AB295" s="185"/>
      <c r="AC295" s="185"/>
    </row>
    <row r="296" spans="1:29" ht="15.75" customHeight="1">
      <c r="A296" s="185"/>
      <c r="B296" s="189"/>
      <c r="C296" s="189"/>
      <c r="D296" s="189"/>
      <c r="E296" s="189"/>
      <c r="F296" s="189"/>
      <c r="G296" s="189"/>
      <c r="H296" s="189"/>
      <c r="I296" s="5"/>
      <c r="J296" s="6"/>
      <c r="K296" s="5"/>
      <c r="L296" s="189"/>
      <c r="M296" s="189"/>
      <c r="N296" s="189"/>
      <c r="O296" s="190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  <c r="AB296" s="185"/>
      <c r="AC296" s="185"/>
    </row>
    <row r="297" spans="1:29" ht="15.75" customHeight="1">
      <c r="A297" s="185"/>
      <c r="B297" s="189"/>
      <c r="C297" s="189"/>
      <c r="D297" s="189"/>
      <c r="E297" s="189"/>
      <c r="F297" s="189"/>
      <c r="G297" s="189"/>
      <c r="H297" s="189"/>
      <c r="I297" s="5"/>
      <c r="J297" s="6"/>
      <c r="K297" s="5"/>
      <c r="L297" s="189"/>
      <c r="M297" s="189"/>
      <c r="N297" s="189"/>
      <c r="O297" s="190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  <c r="AA297" s="185"/>
      <c r="AB297" s="185"/>
      <c r="AC297" s="185"/>
    </row>
    <row r="298" spans="1:29" ht="15.75" customHeight="1">
      <c r="A298" s="185"/>
      <c r="B298" s="189"/>
      <c r="C298" s="189"/>
      <c r="D298" s="189"/>
      <c r="E298" s="189"/>
      <c r="F298" s="189"/>
      <c r="G298" s="189"/>
      <c r="H298" s="189"/>
      <c r="I298" s="5"/>
      <c r="J298" s="6"/>
      <c r="K298" s="5"/>
      <c r="L298" s="189"/>
      <c r="M298" s="189"/>
      <c r="N298" s="189"/>
      <c r="O298" s="190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  <c r="AA298" s="185"/>
      <c r="AB298" s="185"/>
      <c r="AC298" s="185"/>
    </row>
    <row r="299" spans="1:29" ht="15.75" customHeight="1">
      <c r="A299" s="185"/>
      <c r="B299" s="189"/>
      <c r="C299" s="189"/>
      <c r="D299" s="189"/>
      <c r="E299" s="189"/>
      <c r="F299" s="189"/>
      <c r="G299" s="189"/>
      <c r="H299" s="189"/>
      <c r="I299" s="5"/>
      <c r="J299" s="6"/>
      <c r="K299" s="5"/>
      <c r="L299" s="189"/>
      <c r="M299" s="189"/>
      <c r="N299" s="189"/>
      <c r="O299" s="190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  <c r="AA299" s="185"/>
      <c r="AB299" s="185"/>
      <c r="AC299" s="185"/>
    </row>
    <row r="300" spans="1:29" ht="15.75" customHeight="1">
      <c r="A300" s="185"/>
      <c r="B300" s="189"/>
      <c r="C300" s="189"/>
      <c r="D300" s="189"/>
      <c r="E300" s="189"/>
      <c r="F300" s="189"/>
      <c r="G300" s="189"/>
      <c r="H300" s="189"/>
      <c r="I300" s="5"/>
      <c r="J300" s="6"/>
      <c r="K300" s="5"/>
      <c r="L300" s="189"/>
      <c r="M300" s="189"/>
      <c r="N300" s="189"/>
      <c r="O300" s="190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  <c r="AA300" s="185"/>
      <c r="AB300" s="185"/>
      <c r="AC300" s="185"/>
    </row>
    <row r="301" spans="1:29" ht="15.75" customHeight="1">
      <c r="A301" s="185"/>
      <c r="B301" s="189"/>
      <c r="C301" s="189"/>
      <c r="D301" s="189"/>
      <c r="E301" s="189"/>
      <c r="F301" s="189"/>
      <c r="G301" s="189"/>
      <c r="H301" s="189"/>
      <c r="I301" s="5"/>
      <c r="J301" s="6"/>
      <c r="K301" s="5"/>
      <c r="L301" s="189"/>
      <c r="M301" s="189"/>
      <c r="N301" s="189"/>
      <c r="O301" s="190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  <c r="AA301" s="185"/>
      <c r="AB301" s="185"/>
      <c r="AC301" s="185"/>
    </row>
    <row r="302" spans="1:29" ht="15.75" customHeight="1">
      <c r="A302" s="185"/>
      <c r="B302" s="189"/>
      <c r="C302" s="189"/>
      <c r="D302" s="189"/>
      <c r="E302" s="189"/>
      <c r="F302" s="189"/>
      <c r="G302" s="189"/>
      <c r="H302" s="189"/>
      <c r="I302" s="5"/>
      <c r="J302" s="6"/>
      <c r="K302" s="5"/>
      <c r="L302" s="189"/>
      <c r="M302" s="189"/>
      <c r="N302" s="189"/>
      <c r="O302" s="190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  <c r="AA302" s="185"/>
      <c r="AB302" s="185"/>
      <c r="AC302" s="185"/>
    </row>
    <row r="303" spans="1:29" ht="15.75" customHeight="1">
      <c r="A303" s="185"/>
      <c r="B303" s="189"/>
      <c r="C303" s="189"/>
      <c r="D303" s="189"/>
      <c r="E303" s="189"/>
      <c r="F303" s="189"/>
      <c r="G303" s="189"/>
      <c r="H303" s="189"/>
      <c r="I303" s="5"/>
      <c r="J303" s="6"/>
      <c r="K303" s="5"/>
      <c r="L303" s="189"/>
      <c r="M303" s="189"/>
      <c r="N303" s="189"/>
      <c r="O303" s="190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  <c r="AB303" s="185"/>
      <c r="AC303" s="185"/>
    </row>
    <row r="304" spans="1:29" ht="15.75" customHeight="1">
      <c r="A304" s="185"/>
      <c r="B304" s="189"/>
      <c r="C304" s="189"/>
      <c r="D304" s="189"/>
      <c r="E304" s="189"/>
      <c r="F304" s="189"/>
      <c r="G304" s="189"/>
      <c r="H304" s="189"/>
      <c r="I304" s="5"/>
      <c r="J304" s="6"/>
      <c r="K304" s="5"/>
      <c r="L304" s="189"/>
      <c r="M304" s="189"/>
      <c r="N304" s="189"/>
      <c r="O304" s="190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  <c r="AA304" s="185"/>
      <c r="AB304" s="185"/>
      <c r="AC304" s="185"/>
    </row>
    <row r="305" spans="1:29" ht="15.75" customHeight="1">
      <c r="A305" s="185"/>
      <c r="B305" s="189"/>
      <c r="C305" s="189"/>
      <c r="D305" s="189"/>
      <c r="E305" s="189"/>
      <c r="F305" s="189"/>
      <c r="G305" s="189"/>
      <c r="H305" s="189"/>
      <c r="I305" s="5"/>
      <c r="J305" s="6"/>
      <c r="K305" s="5"/>
      <c r="L305" s="189"/>
      <c r="M305" s="189"/>
      <c r="N305" s="189"/>
      <c r="O305" s="190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  <c r="AA305" s="185"/>
      <c r="AB305" s="185"/>
      <c r="AC305" s="185"/>
    </row>
    <row r="306" spans="1:29" ht="15.75" customHeight="1">
      <c r="A306" s="185"/>
      <c r="B306" s="189"/>
      <c r="C306" s="189"/>
      <c r="D306" s="189"/>
      <c r="E306" s="189"/>
      <c r="F306" s="189"/>
      <c r="G306" s="189"/>
      <c r="H306" s="189"/>
      <c r="I306" s="5"/>
      <c r="J306" s="6"/>
      <c r="K306" s="5"/>
      <c r="L306" s="189"/>
      <c r="M306" s="189"/>
      <c r="N306" s="189"/>
      <c r="O306" s="190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  <c r="AA306" s="185"/>
      <c r="AB306" s="185"/>
      <c r="AC306" s="185"/>
    </row>
    <row r="307" spans="1:29" ht="15.75" customHeight="1">
      <c r="A307" s="185"/>
      <c r="B307" s="189"/>
      <c r="C307" s="189"/>
      <c r="D307" s="189"/>
      <c r="E307" s="189"/>
      <c r="F307" s="189"/>
      <c r="G307" s="189"/>
      <c r="H307" s="189"/>
      <c r="I307" s="5"/>
      <c r="J307" s="6"/>
      <c r="K307" s="5"/>
      <c r="L307" s="189"/>
      <c r="M307" s="189"/>
      <c r="N307" s="189"/>
      <c r="O307" s="190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  <c r="AA307" s="185"/>
      <c r="AB307" s="185"/>
      <c r="AC307" s="185"/>
    </row>
    <row r="308" spans="1:29" ht="15.75" customHeight="1">
      <c r="A308" s="185"/>
      <c r="B308" s="189"/>
      <c r="C308" s="189"/>
      <c r="D308" s="189"/>
      <c r="E308" s="189"/>
      <c r="F308" s="189"/>
      <c r="G308" s="189"/>
      <c r="H308" s="189"/>
      <c r="I308" s="5"/>
      <c r="J308" s="6"/>
      <c r="K308" s="5"/>
      <c r="L308" s="189"/>
      <c r="M308" s="189"/>
      <c r="N308" s="189"/>
      <c r="O308" s="190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  <c r="AA308" s="185"/>
      <c r="AB308" s="185"/>
      <c r="AC308" s="185"/>
    </row>
    <row r="309" spans="1:29" ht="15.75" customHeight="1">
      <c r="A309" s="185"/>
      <c r="B309" s="189"/>
      <c r="C309" s="189"/>
      <c r="D309" s="189"/>
      <c r="E309" s="189"/>
      <c r="F309" s="189"/>
      <c r="G309" s="189"/>
      <c r="H309" s="189"/>
      <c r="I309" s="5"/>
      <c r="J309" s="6"/>
      <c r="K309" s="5"/>
      <c r="L309" s="189"/>
      <c r="M309" s="189"/>
      <c r="N309" s="189"/>
      <c r="O309" s="190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  <c r="AA309" s="185"/>
      <c r="AB309" s="185"/>
      <c r="AC309" s="185"/>
    </row>
    <row r="310" spans="1:29" ht="15.75" customHeight="1">
      <c r="A310" s="185"/>
      <c r="B310" s="189"/>
      <c r="C310" s="189"/>
      <c r="D310" s="189"/>
      <c r="E310" s="189"/>
      <c r="F310" s="189"/>
      <c r="G310" s="189"/>
      <c r="H310" s="189"/>
      <c r="I310" s="5"/>
      <c r="J310" s="6"/>
      <c r="K310" s="5"/>
      <c r="L310" s="189"/>
      <c r="M310" s="189"/>
      <c r="N310" s="189"/>
      <c r="O310" s="190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  <c r="AA310" s="185"/>
      <c r="AB310" s="185"/>
      <c r="AC310" s="185"/>
    </row>
    <row r="311" spans="1:29" ht="15.75" customHeight="1">
      <c r="A311" s="185"/>
      <c r="B311" s="189"/>
      <c r="C311" s="189"/>
      <c r="D311" s="189"/>
      <c r="E311" s="189"/>
      <c r="F311" s="189"/>
      <c r="G311" s="189"/>
      <c r="H311" s="189"/>
      <c r="I311" s="5"/>
      <c r="J311" s="6"/>
      <c r="K311" s="5"/>
      <c r="L311" s="189"/>
      <c r="M311" s="189"/>
      <c r="N311" s="189"/>
      <c r="O311" s="190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  <c r="AB311" s="185"/>
      <c r="AC311" s="185"/>
    </row>
    <row r="312" spans="1:29" ht="15.75" customHeight="1">
      <c r="A312" s="185"/>
      <c r="B312" s="189"/>
      <c r="C312" s="189"/>
      <c r="D312" s="189"/>
      <c r="E312" s="189"/>
      <c r="F312" s="189"/>
      <c r="G312" s="189"/>
      <c r="H312" s="189"/>
      <c r="I312" s="5"/>
      <c r="J312" s="6"/>
      <c r="K312" s="5"/>
      <c r="L312" s="189"/>
      <c r="M312" s="189"/>
      <c r="N312" s="189"/>
      <c r="O312" s="190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  <c r="AA312" s="185"/>
      <c r="AB312" s="185"/>
      <c r="AC312" s="185"/>
    </row>
    <row r="313" spans="1:29" ht="15.75" customHeight="1">
      <c r="A313" s="185"/>
      <c r="B313" s="189"/>
      <c r="C313" s="189"/>
      <c r="D313" s="189"/>
      <c r="E313" s="189"/>
      <c r="F313" s="189"/>
      <c r="G313" s="189"/>
      <c r="H313" s="189"/>
      <c r="I313" s="5"/>
      <c r="J313" s="6"/>
      <c r="K313" s="5"/>
      <c r="L313" s="189"/>
      <c r="M313" s="189"/>
      <c r="N313" s="189"/>
      <c r="O313" s="190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  <c r="AA313" s="185"/>
      <c r="AB313" s="185"/>
      <c r="AC313" s="185"/>
    </row>
    <row r="314" spans="1:29" ht="15.75" customHeight="1">
      <c r="A314" s="185"/>
      <c r="B314" s="189"/>
      <c r="C314" s="189"/>
      <c r="D314" s="189"/>
      <c r="E314" s="189"/>
      <c r="F314" s="189"/>
      <c r="G314" s="189"/>
      <c r="H314" s="189"/>
      <c r="I314" s="5"/>
      <c r="J314" s="6"/>
      <c r="K314" s="5"/>
      <c r="L314" s="189"/>
      <c r="M314" s="189"/>
      <c r="N314" s="189"/>
      <c r="O314" s="190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  <c r="AA314" s="185"/>
      <c r="AB314" s="185"/>
      <c r="AC314" s="185"/>
    </row>
    <row r="315" spans="1:29" ht="15.75" customHeight="1">
      <c r="A315" s="185"/>
      <c r="B315" s="189"/>
      <c r="C315" s="189"/>
      <c r="D315" s="189"/>
      <c r="E315" s="189"/>
      <c r="F315" s="189"/>
      <c r="G315" s="189"/>
      <c r="H315" s="189"/>
      <c r="I315" s="5"/>
      <c r="J315" s="6"/>
      <c r="K315" s="5"/>
      <c r="L315" s="189"/>
      <c r="M315" s="189"/>
      <c r="N315" s="189"/>
      <c r="O315" s="190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  <c r="AA315" s="185"/>
      <c r="AB315" s="185"/>
      <c r="AC315" s="185"/>
    </row>
    <row r="316" spans="1:29" ht="15.75" customHeight="1">
      <c r="A316" s="185"/>
      <c r="B316" s="189"/>
      <c r="C316" s="189"/>
      <c r="D316" s="189"/>
      <c r="E316" s="189"/>
      <c r="F316" s="189"/>
      <c r="G316" s="189"/>
      <c r="H316" s="189"/>
      <c r="I316" s="5"/>
      <c r="J316" s="6"/>
      <c r="K316" s="5"/>
      <c r="L316" s="189"/>
      <c r="M316" s="189"/>
      <c r="N316" s="189"/>
      <c r="O316" s="190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  <c r="AA316" s="185"/>
      <c r="AB316" s="185"/>
      <c r="AC316" s="185"/>
    </row>
    <row r="317" spans="1:29" ht="15.75" customHeight="1">
      <c r="A317" s="185"/>
      <c r="B317" s="189"/>
      <c r="C317" s="189"/>
      <c r="D317" s="189"/>
      <c r="E317" s="189"/>
      <c r="F317" s="189"/>
      <c r="G317" s="189"/>
      <c r="H317" s="189"/>
      <c r="I317" s="5"/>
      <c r="J317" s="6"/>
      <c r="K317" s="5"/>
      <c r="L317" s="189"/>
      <c r="M317" s="189"/>
      <c r="N317" s="189"/>
      <c r="O317" s="190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  <c r="AA317" s="185"/>
      <c r="AB317" s="185"/>
      <c r="AC317" s="185"/>
    </row>
    <row r="318" spans="1:29" ht="15.75" customHeight="1">
      <c r="A318" s="185"/>
      <c r="B318" s="189"/>
      <c r="C318" s="189"/>
      <c r="D318" s="189"/>
      <c r="E318" s="189"/>
      <c r="F318" s="189"/>
      <c r="G318" s="189"/>
      <c r="H318" s="189"/>
      <c r="I318" s="5"/>
      <c r="J318" s="6"/>
      <c r="K318" s="5"/>
      <c r="L318" s="189"/>
      <c r="M318" s="189"/>
      <c r="N318" s="189"/>
      <c r="O318" s="190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  <c r="AA318" s="185"/>
      <c r="AB318" s="185"/>
      <c r="AC318" s="185"/>
    </row>
    <row r="319" spans="1:29" ht="15.75" customHeight="1">
      <c r="A319" s="185"/>
      <c r="B319" s="189"/>
      <c r="C319" s="189"/>
      <c r="D319" s="189"/>
      <c r="E319" s="189"/>
      <c r="F319" s="189"/>
      <c r="G319" s="189"/>
      <c r="H319" s="189"/>
      <c r="I319" s="5"/>
      <c r="J319" s="6"/>
      <c r="K319" s="5"/>
      <c r="L319" s="189"/>
      <c r="M319" s="189"/>
      <c r="N319" s="189"/>
      <c r="O319" s="190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  <c r="AB319" s="185"/>
      <c r="AC319" s="185"/>
    </row>
    <row r="320" spans="1:29" ht="15.75" customHeight="1">
      <c r="A320" s="185"/>
      <c r="B320" s="189"/>
      <c r="C320" s="189"/>
      <c r="D320" s="189"/>
      <c r="E320" s="189"/>
      <c r="F320" s="189"/>
      <c r="G320" s="189"/>
      <c r="H320" s="189"/>
      <c r="I320" s="5"/>
      <c r="J320" s="6"/>
      <c r="K320" s="5"/>
      <c r="L320" s="189"/>
      <c r="M320" s="189"/>
      <c r="N320" s="189"/>
      <c r="O320" s="190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  <c r="AA320" s="185"/>
      <c r="AB320" s="185"/>
      <c r="AC320" s="185"/>
    </row>
    <row r="321" spans="1:29" ht="15.75" customHeight="1">
      <c r="A321" s="185"/>
      <c r="B321" s="189"/>
      <c r="C321" s="189"/>
      <c r="D321" s="189"/>
      <c r="E321" s="189"/>
      <c r="F321" s="189"/>
      <c r="G321" s="189"/>
      <c r="H321" s="189"/>
      <c r="I321" s="5"/>
      <c r="J321" s="6"/>
      <c r="K321" s="5"/>
      <c r="L321" s="189"/>
      <c r="M321" s="189"/>
      <c r="N321" s="189"/>
      <c r="O321" s="190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  <c r="AA321" s="185"/>
      <c r="AB321" s="185"/>
      <c r="AC321" s="185"/>
    </row>
    <row r="322" spans="1:29" ht="15.75" customHeight="1">
      <c r="A322" s="185"/>
      <c r="B322" s="189"/>
      <c r="C322" s="189"/>
      <c r="D322" s="189"/>
      <c r="E322" s="189"/>
      <c r="F322" s="189"/>
      <c r="G322" s="189"/>
      <c r="H322" s="189"/>
      <c r="I322" s="5"/>
      <c r="J322" s="6"/>
      <c r="K322" s="5"/>
      <c r="L322" s="189"/>
      <c r="M322" s="189"/>
      <c r="N322" s="189"/>
      <c r="O322" s="190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  <c r="AB322" s="185"/>
      <c r="AC322" s="185"/>
    </row>
    <row r="323" spans="1:29" ht="15.75" customHeight="1">
      <c r="A323" s="185"/>
      <c r="B323" s="189"/>
      <c r="C323" s="189"/>
      <c r="D323" s="189"/>
      <c r="E323" s="189"/>
      <c r="F323" s="189"/>
      <c r="G323" s="189"/>
      <c r="H323" s="189"/>
      <c r="I323" s="5"/>
      <c r="J323" s="6"/>
      <c r="K323" s="5"/>
      <c r="L323" s="189"/>
      <c r="M323" s="189"/>
      <c r="N323" s="189"/>
      <c r="O323" s="190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  <c r="AA323" s="185"/>
      <c r="AB323" s="185"/>
      <c r="AC323" s="185"/>
    </row>
    <row r="324" spans="1:29" ht="15.75" customHeight="1">
      <c r="A324" s="185"/>
      <c r="B324" s="189"/>
      <c r="C324" s="189"/>
      <c r="D324" s="189"/>
      <c r="E324" s="189"/>
      <c r="F324" s="189"/>
      <c r="G324" s="189"/>
      <c r="H324" s="189"/>
      <c r="I324" s="5"/>
      <c r="J324" s="6"/>
      <c r="K324" s="5"/>
      <c r="L324" s="189"/>
      <c r="M324" s="189"/>
      <c r="N324" s="189"/>
      <c r="O324" s="190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  <c r="AA324" s="185"/>
      <c r="AB324" s="185"/>
      <c r="AC324" s="185"/>
    </row>
    <row r="325" spans="1:29" ht="15.75" customHeight="1">
      <c r="A325" s="185"/>
      <c r="B325" s="189"/>
      <c r="C325" s="189"/>
      <c r="D325" s="189"/>
      <c r="E325" s="189"/>
      <c r="F325" s="189"/>
      <c r="G325" s="189"/>
      <c r="H325" s="189"/>
      <c r="I325" s="5"/>
      <c r="J325" s="6"/>
      <c r="K325" s="5"/>
      <c r="L325" s="189"/>
      <c r="M325" s="189"/>
      <c r="N325" s="189"/>
      <c r="O325" s="190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  <c r="AA325" s="185"/>
      <c r="AB325" s="185"/>
      <c r="AC325" s="185"/>
    </row>
    <row r="326" spans="1:29" ht="15.75" customHeight="1">
      <c r="A326" s="185"/>
      <c r="B326" s="189"/>
      <c r="C326" s="189"/>
      <c r="D326" s="189"/>
      <c r="E326" s="189"/>
      <c r="F326" s="189"/>
      <c r="G326" s="189"/>
      <c r="H326" s="189"/>
      <c r="I326" s="5"/>
      <c r="J326" s="6"/>
      <c r="K326" s="5"/>
      <c r="L326" s="189"/>
      <c r="M326" s="189"/>
      <c r="N326" s="189"/>
      <c r="O326" s="190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  <c r="AA326" s="185"/>
      <c r="AB326" s="185"/>
      <c r="AC326" s="185"/>
    </row>
    <row r="327" spans="1:29" ht="15.75" customHeight="1">
      <c r="A327" s="185"/>
      <c r="B327" s="189"/>
      <c r="C327" s="189"/>
      <c r="D327" s="189"/>
      <c r="E327" s="189"/>
      <c r="F327" s="189"/>
      <c r="G327" s="189"/>
      <c r="H327" s="189"/>
      <c r="I327" s="5"/>
      <c r="J327" s="6"/>
      <c r="K327" s="5"/>
      <c r="L327" s="189"/>
      <c r="M327" s="189"/>
      <c r="N327" s="189"/>
      <c r="O327" s="190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  <c r="AA327" s="185"/>
      <c r="AB327" s="185"/>
      <c r="AC327" s="185"/>
    </row>
    <row r="328" spans="1:29" ht="15.75" customHeight="1">
      <c r="A328" s="185"/>
      <c r="B328" s="189"/>
      <c r="C328" s="189"/>
      <c r="D328" s="189"/>
      <c r="E328" s="189"/>
      <c r="F328" s="189"/>
      <c r="G328" s="189"/>
      <c r="H328" s="189"/>
      <c r="I328" s="5"/>
      <c r="J328" s="6"/>
      <c r="K328" s="5"/>
      <c r="L328" s="189"/>
      <c r="M328" s="189"/>
      <c r="N328" s="189"/>
      <c r="O328" s="190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  <c r="AA328" s="185"/>
      <c r="AB328" s="185"/>
      <c r="AC328" s="185"/>
    </row>
    <row r="329" spans="1:29" ht="15.75" customHeight="1">
      <c r="A329" s="185"/>
      <c r="B329" s="189"/>
      <c r="C329" s="189"/>
      <c r="D329" s="189"/>
      <c r="E329" s="189"/>
      <c r="F329" s="189"/>
      <c r="G329" s="189"/>
      <c r="H329" s="189"/>
      <c r="I329" s="5"/>
      <c r="J329" s="6"/>
      <c r="K329" s="5"/>
      <c r="L329" s="189"/>
      <c r="M329" s="189"/>
      <c r="N329" s="189"/>
      <c r="O329" s="190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  <c r="AA329" s="185"/>
      <c r="AB329" s="185"/>
      <c r="AC329" s="185"/>
    </row>
    <row r="330" spans="1:29" ht="15.75" customHeight="1">
      <c r="A330" s="185"/>
      <c r="B330" s="189"/>
      <c r="C330" s="189"/>
      <c r="D330" s="189"/>
      <c r="E330" s="189"/>
      <c r="F330" s="189"/>
      <c r="G330" s="189"/>
      <c r="H330" s="189"/>
      <c r="I330" s="5"/>
      <c r="J330" s="6"/>
      <c r="K330" s="5"/>
      <c r="L330" s="189"/>
      <c r="M330" s="189"/>
      <c r="N330" s="189"/>
      <c r="O330" s="190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  <c r="AA330" s="185"/>
      <c r="AB330" s="185"/>
      <c r="AC330" s="185"/>
    </row>
    <row r="331" spans="1:29" ht="15.75" customHeight="1">
      <c r="A331" s="185"/>
      <c r="B331" s="189"/>
      <c r="C331" s="189"/>
      <c r="D331" s="189"/>
      <c r="E331" s="189"/>
      <c r="F331" s="189"/>
      <c r="G331" s="189"/>
      <c r="H331" s="189"/>
      <c r="I331" s="5"/>
      <c r="J331" s="6"/>
      <c r="K331" s="5"/>
      <c r="L331" s="189"/>
      <c r="M331" s="189"/>
      <c r="N331" s="189"/>
      <c r="O331" s="190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  <c r="AA331" s="185"/>
      <c r="AB331" s="185"/>
      <c r="AC331" s="185"/>
    </row>
    <row r="332" spans="1:29" ht="15.75" customHeight="1">
      <c r="A332" s="185"/>
      <c r="B332" s="189"/>
      <c r="C332" s="189"/>
      <c r="D332" s="189"/>
      <c r="E332" s="189"/>
      <c r="F332" s="189"/>
      <c r="G332" s="189"/>
      <c r="H332" s="189"/>
      <c r="I332" s="5"/>
      <c r="J332" s="6"/>
      <c r="K332" s="5"/>
      <c r="L332" s="189"/>
      <c r="M332" s="189"/>
      <c r="N332" s="189"/>
      <c r="O332" s="190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  <c r="AA332" s="185"/>
      <c r="AB332" s="185"/>
      <c r="AC332" s="185"/>
    </row>
    <row r="333" spans="1:29" ht="15.75" customHeight="1">
      <c r="A333" s="185"/>
      <c r="B333" s="189"/>
      <c r="C333" s="189"/>
      <c r="D333" s="189"/>
      <c r="E333" s="189"/>
      <c r="F333" s="189"/>
      <c r="G333" s="189"/>
      <c r="H333" s="189"/>
      <c r="I333" s="5"/>
      <c r="J333" s="6"/>
      <c r="K333" s="5"/>
      <c r="L333" s="189"/>
      <c r="M333" s="189"/>
      <c r="N333" s="189"/>
      <c r="O333" s="190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  <c r="AA333" s="185"/>
      <c r="AB333" s="185"/>
      <c r="AC333" s="185"/>
    </row>
    <row r="334" spans="1:29" ht="15.75" customHeight="1">
      <c r="A334" s="185"/>
      <c r="B334" s="189"/>
      <c r="C334" s="189"/>
      <c r="D334" s="189"/>
      <c r="E334" s="189"/>
      <c r="F334" s="189"/>
      <c r="G334" s="189"/>
      <c r="H334" s="189"/>
      <c r="I334" s="5"/>
      <c r="J334" s="6"/>
      <c r="K334" s="5"/>
      <c r="L334" s="189"/>
      <c r="M334" s="189"/>
      <c r="N334" s="189"/>
      <c r="O334" s="190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  <c r="AA334" s="185"/>
      <c r="AB334" s="185"/>
      <c r="AC334" s="185"/>
    </row>
    <row r="335" spans="1:29" ht="15.75" customHeight="1">
      <c r="A335" s="185"/>
      <c r="B335" s="189"/>
      <c r="C335" s="189"/>
      <c r="D335" s="189"/>
      <c r="E335" s="189"/>
      <c r="F335" s="189"/>
      <c r="G335" s="189"/>
      <c r="H335" s="189"/>
      <c r="I335" s="5"/>
      <c r="J335" s="6"/>
      <c r="K335" s="5"/>
      <c r="L335" s="189"/>
      <c r="M335" s="189"/>
      <c r="N335" s="189"/>
      <c r="O335" s="190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  <c r="AA335" s="185"/>
      <c r="AB335" s="185"/>
      <c r="AC335" s="185"/>
    </row>
    <row r="336" spans="1:29" ht="15.75" customHeight="1">
      <c r="A336" s="185"/>
      <c r="B336" s="189"/>
      <c r="C336" s="189"/>
      <c r="D336" s="189"/>
      <c r="E336" s="189"/>
      <c r="F336" s="189"/>
      <c r="G336" s="189"/>
      <c r="H336" s="189"/>
      <c r="I336" s="5"/>
      <c r="J336" s="6"/>
      <c r="K336" s="5"/>
      <c r="L336" s="189"/>
      <c r="M336" s="189"/>
      <c r="N336" s="189"/>
      <c r="O336" s="190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  <c r="AA336" s="185"/>
      <c r="AB336" s="185"/>
      <c r="AC336" s="185"/>
    </row>
    <row r="337" spans="1:29" ht="15.75" customHeight="1">
      <c r="A337" s="185"/>
      <c r="B337" s="189"/>
      <c r="C337" s="189"/>
      <c r="D337" s="189"/>
      <c r="E337" s="189"/>
      <c r="F337" s="189"/>
      <c r="G337" s="189"/>
      <c r="H337" s="189"/>
      <c r="I337" s="5"/>
      <c r="J337" s="6"/>
      <c r="K337" s="5"/>
      <c r="L337" s="189"/>
      <c r="M337" s="189"/>
      <c r="N337" s="189"/>
      <c r="O337" s="190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  <c r="AA337" s="185"/>
      <c r="AB337" s="185"/>
      <c r="AC337" s="185"/>
    </row>
    <row r="338" spans="1:29" ht="15.75" customHeight="1">
      <c r="A338" s="185"/>
      <c r="B338" s="189"/>
      <c r="C338" s="189"/>
      <c r="D338" s="189"/>
      <c r="E338" s="189"/>
      <c r="F338" s="189"/>
      <c r="G338" s="189"/>
      <c r="H338" s="189"/>
      <c r="I338" s="5"/>
      <c r="J338" s="6"/>
      <c r="K338" s="5"/>
      <c r="L338" s="189"/>
      <c r="M338" s="189"/>
      <c r="N338" s="189"/>
      <c r="O338" s="190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  <c r="AA338" s="185"/>
      <c r="AB338" s="185"/>
      <c r="AC338" s="185"/>
    </row>
    <row r="339" spans="1:29" ht="15.75" customHeight="1">
      <c r="A339" s="185"/>
      <c r="B339" s="189"/>
      <c r="C339" s="189"/>
      <c r="D339" s="189"/>
      <c r="E339" s="189"/>
      <c r="F339" s="189"/>
      <c r="G339" s="189"/>
      <c r="H339" s="189"/>
      <c r="I339" s="5"/>
      <c r="J339" s="6"/>
      <c r="K339" s="5"/>
      <c r="L339" s="189"/>
      <c r="M339" s="189"/>
      <c r="N339" s="189"/>
      <c r="O339" s="190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  <c r="AA339" s="185"/>
      <c r="AB339" s="185"/>
      <c r="AC339" s="185"/>
    </row>
    <row r="340" spans="1:29" ht="15.75" customHeight="1">
      <c r="A340" s="185"/>
      <c r="B340" s="189"/>
      <c r="C340" s="189"/>
      <c r="D340" s="189"/>
      <c r="E340" s="189"/>
      <c r="F340" s="189"/>
      <c r="G340" s="189"/>
      <c r="H340" s="189"/>
      <c r="I340" s="5"/>
      <c r="J340" s="6"/>
      <c r="K340" s="5"/>
      <c r="L340" s="189"/>
      <c r="M340" s="189"/>
      <c r="N340" s="189"/>
      <c r="O340" s="190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  <c r="AA340" s="185"/>
      <c r="AB340" s="185"/>
      <c r="AC340" s="185"/>
    </row>
    <row r="341" spans="1:29" ht="15.75" customHeight="1">
      <c r="A341" s="185"/>
      <c r="B341" s="189"/>
      <c r="C341" s="189"/>
      <c r="D341" s="189"/>
      <c r="E341" s="189"/>
      <c r="F341" s="189"/>
      <c r="G341" s="189"/>
      <c r="H341" s="189"/>
      <c r="I341" s="5"/>
      <c r="J341" s="6"/>
      <c r="K341" s="5"/>
      <c r="L341" s="189"/>
      <c r="M341" s="189"/>
      <c r="N341" s="189"/>
      <c r="O341" s="190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  <c r="AA341" s="185"/>
      <c r="AB341" s="185"/>
      <c r="AC341" s="185"/>
    </row>
    <row r="342" spans="1:29" ht="15.75" customHeight="1">
      <c r="A342" s="185"/>
      <c r="B342" s="189"/>
      <c r="C342" s="189"/>
      <c r="D342" s="189"/>
      <c r="E342" s="189"/>
      <c r="F342" s="189"/>
      <c r="G342" s="189"/>
      <c r="H342" s="189"/>
      <c r="I342" s="5"/>
      <c r="J342" s="6"/>
      <c r="K342" s="5"/>
      <c r="L342" s="189"/>
      <c r="M342" s="189"/>
      <c r="N342" s="189"/>
      <c r="O342" s="190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  <c r="AA342" s="185"/>
      <c r="AB342" s="185"/>
      <c r="AC342" s="185"/>
    </row>
    <row r="343" spans="1:29" ht="15.75" customHeight="1">
      <c r="A343" s="185"/>
      <c r="B343" s="189"/>
      <c r="C343" s="189"/>
      <c r="D343" s="189"/>
      <c r="E343" s="189"/>
      <c r="F343" s="189"/>
      <c r="G343" s="189"/>
      <c r="H343" s="189"/>
      <c r="I343" s="5"/>
      <c r="J343" s="6"/>
      <c r="K343" s="5"/>
      <c r="L343" s="189"/>
      <c r="M343" s="189"/>
      <c r="N343" s="189"/>
      <c r="O343" s="190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  <c r="AA343" s="185"/>
      <c r="AB343" s="185"/>
      <c r="AC343" s="185"/>
    </row>
    <row r="344" spans="1:29" ht="15.75" customHeight="1">
      <c r="A344" s="185"/>
      <c r="B344" s="189"/>
      <c r="C344" s="189"/>
      <c r="D344" s="189"/>
      <c r="E344" s="189"/>
      <c r="F344" s="189"/>
      <c r="G344" s="189"/>
      <c r="H344" s="189"/>
      <c r="I344" s="5"/>
      <c r="J344" s="6"/>
      <c r="K344" s="5"/>
      <c r="L344" s="189"/>
      <c r="M344" s="189"/>
      <c r="N344" s="189"/>
      <c r="O344" s="190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  <c r="AA344" s="185"/>
      <c r="AB344" s="185"/>
      <c r="AC344" s="185"/>
    </row>
    <row r="345" spans="1:29" ht="15.75" customHeight="1">
      <c r="A345" s="185"/>
      <c r="B345" s="189"/>
      <c r="C345" s="189"/>
      <c r="D345" s="189"/>
      <c r="E345" s="189"/>
      <c r="F345" s="189"/>
      <c r="G345" s="189"/>
      <c r="H345" s="189"/>
      <c r="I345" s="5"/>
      <c r="J345" s="6"/>
      <c r="K345" s="5"/>
      <c r="L345" s="189"/>
      <c r="M345" s="189"/>
      <c r="N345" s="189"/>
      <c r="O345" s="190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  <c r="AA345" s="185"/>
      <c r="AB345" s="185"/>
      <c r="AC345" s="185"/>
    </row>
    <row r="346" spans="1:29" ht="15.75" customHeight="1">
      <c r="A346" s="185"/>
      <c r="B346" s="189"/>
      <c r="C346" s="189"/>
      <c r="D346" s="189"/>
      <c r="E346" s="189"/>
      <c r="F346" s="189"/>
      <c r="G346" s="189"/>
      <c r="H346" s="189"/>
      <c r="I346" s="5"/>
      <c r="J346" s="6"/>
      <c r="K346" s="5"/>
      <c r="L346" s="189"/>
      <c r="M346" s="189"/>
      <c r="N346" s="189"/>
      <c r="O346" s="190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  <c r="AA346" s="185"/>
      <c r="AB346" s="185"/>
      <c r="AC346" s="185"/>
    </row>
    <row r="347" spans="1:29" ht="15.75" customHeight="1">
      <c r="A347" s="185"/>
      <c r="B347" s="189"/>
      <c r="C347" s="189"/>
      <c r="D347" s="189"/>
      <c r="E347" s="189"/>
      <c r="F347" s="189"/>
      <c r="G347" s="189"/>
      <c r="H347" s="189"/>
      <c r="I347" s="5"/>
      <c r="J347" s="6"/>
      <c r="K347" s="5"/>
      <c r="L347" s="189"/>
      <c r="M347" s="189"/>
      <c r="N347" s="189"/>
      <c r="O347" s="190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  <c r="AA347" s="185"/>
      <c r="AB347" s="185"/>
      <c r="AC347" s="185"/>
    </row>
    <row r="348" spans="1:29" ht="15.75" customHeight="1">
      <c r="A348" s="185"/>
      <c r="B348" s="189"/>
      <c r="C348" s="189"/>
      <c r="D348" s="189"/>
      <c r="E348" s="189"/>
      <c r="F348" s="189"/>
      <c r="G348" s="189"/>
      <c r="H348" s="189"/>
      <c r="I348" s="5"/>
      <c r="J348" s="6"/>
      <c r="K348" s="5"/>
      <c r="L348" s="189"/>
      <c r="M348" s="189"/>
      <c r="N348" s="189"/>
      <c r="O348" s="190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  <c r="AA348" s="185"/>
      <c r="AB348" s="185"/>
      <c r="AC348" s="185"/>
    </row>
    <row r="349" spans="1:29" ht="15.75" customHeight="1">
      <c r="A349" s="185"/>
      <c r="B349" s="189"/>
      <c r="C349" s="189"/>
      <c r="D349" s="189"/>
      <c r="E349" s="189"/>
      <c r="F349" s="189"/>
      <c r="G349" s="189"/>
      <c r="H349" s="189"/>
      <c r="I349" s="5"/>
      <c r="J349" s="6"/>
      <c r="K349" s="5"/>
      <c r="L349" s="189"/>
      <c r="M349" s="189"/>
      <c r="N349" s="189"/>
      <c r="O349" s="190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  <c r="AA349" s="185"/>
      <c r="AB349" s="185"/>
      <c r="AC349" s="185"/>
    </row>
    <row r="350" spans="1:29" ht="15.75" customHeight="1">
      <c r="A350" s="185"/>
      <c r="B350" s="189"/>
      <c r="C350" s="189"/>
      <c r="D350" s="189"/>
      <c r="E350" s="189"/>
      <c r="F350" s="189"/>
      <c r="G350" s="189"/>
      <c r="H350" s="189"/>
      <c r="I350" s="5"/>
      <c r="J350" s="6"/>
      <c r="K350" s="5"/>
      <c r="L350" s="189"/>
      <c r="M350" s="189"/>
      <c r="N350" s="189"/>
      <c r="O350" s="190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  <c r="AA350" s="185"/>
      <c r="AB350" s="185"/>
      <c r="AC350" s="185"/>
    </row>
    <row r="351" spans="1:29" ht="15.75" customHeight="1">
      <c r="A351" s="185"/>
      <c r="B351" s="189"/>
      <c r="C351" s="189"/>
      <c r="D351" s="189"/>
      <c r="E351" s="189"/>
      <c r="F351" s="189"/>
      <c r="G351" s="189"/>
      <c r="H351" s="189"/>
      <c r="I351" s="5"/>
      <c r="J351" s="6"/>
      <c r="K351" s="5"/>
      <c r="L351" s="189"/>
      <c r="M351" s="189"/>
      <c r="N351" s="189"/>
      <c r="O351" s="190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  <c r="AA351" s="185"/>
      <c r="AB351" s="185"/>
      <c r="AC351" s="185"/>
    </row>
    <row r="352" spans="1:29" ht="15.75" customHeight="1">
      <c r="A352" s="185"/>
      <c r="B352" s="189"/>
      <c r="C352" s="189"/>
      <c r="D352" s="189"/>
      <c r="E352" s="189"/>
      <c r="F352" s="189"/>
      <c r="G352" s="189"/>
      <c r="H352" s="189"/>
      <c r="I352" s="5"/>
      <c r="J352" s="6"/>
      <c r="K352" s="5"/>
      <c r="L352" s="189"/>
      <c r="M352" s="189"/>
      <c r="N352" s="189"/>
      <c r="O352" s="190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  <c r="AA352" s="185"/>
      <c r="AB352" s="185"/>
      <c r="AC352" s="185"/>
    </row>
    <row r="353" spans="1:29" ht="15.75" customHeight="1">
      <c r="A353" s="185"/>
      <c r="B353" s="189"/>
      <c r="C353" s="189"/>
      <c r="D353" s="189"/>
      <c r="E353" s="189"/>
      <c r="F353" s="189"/>
      <c r="G353" s="189"/>
      <c r="H353" s="189"/>
      <c r="I353" s="5"/>
      <c r="J353" s="6"/>
      <c r="K353" s="5"/>
      <c r="L353" s="189"/>
      <c r="M353" s="189"/>
      <c r="N353" s="189"/>
      <c r="O353" s="190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  <c r="AA353" s="185"/>
      <c r="AB353" s="185"/>
      <c r="AC353" s="185"/>
    </row>
    <row r="354" spans="1:29" ht="15.75" customHeight="1">
      <c r="A354" s="185"/>
      <c r="B354" s="189"/>
      <c r="C354" s="189"/>
      <c r="D354" s="189"/>
      <c r="E354" s="189"/>
      <c r="F354" s="189"/>
      <c r="G354" s="189"/>
      <c r="H354" s="189"/>
      <c r="I354" s="5"/>
      <c r="J354" s="6"/>
      <c r="K354" s="5"/>
      <c r="L354" s="189"/>
      <c r="M354" s="189"/>
      <c r="N354" s="189"/>
      <c r="O354" s="190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  <c r="AA354" s="185"/>
      <c r="AB354" s="185"/>
      <c r="AC354" s="185"/>
    </row>
    <row r="355" spans="1:29" ht="15.75" customHeight="1">
      <c r="A355" s="185"/>
      <c r="B355" s="189"/>
      <c r="C355" s="189"/>
      <c r="D355" s="189"/>
      <c r="E355" s="189"/>
      <c r="F355" s="189"/>
      <c r="G355" s="189"/>
      <c r="H355" s="189"/>
      <c r="I355" s="5"/>
      <c r="J355" s="6"/>
      <c r="K355" s="5"/>
      <c r="L355" s="189"/>
      <c r="M355" s="189"/>
      <c r="N355" s="189"/>
      <c r="O355" s="190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  <c r="AA355" s="185"/>
      <c r="AB355" s="185"/>
      <c r="AC355" s="185"/>
    </row>
    <row r="356" spans="1:29" ht="15.75" customHeight="1">
      <c r="A356" s="185"/>
      <c r="B356" s="189"/>
      <c r="C356" s="189"/>
      <c r="D356" s="189"/>
      <c r="E356" s="189"/>
      <c r="F356" s="189"/>
      <c r="G356" s="189"/>
      <c r="H356" s="189"/>
      <c r="I356" s="5"/>
      <c r="J356" s="6"/>
      <c r="K356" s="5"/>
      <c r="L356" s="189"/>
      <c r="M356" s="189"/>
      <c r="N356" s="189"/>
      <c r="O356" s="190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  <c r="AA356" s="185"/>
      <c r="AB356" s="185"/>
      <c r="AC356" s="185"/>
    </row>
    <row r="357" spans="1:29" ht="15.75" customHeight="1">
      <c r="A357" s="185"/>
      <c r="B357" s="189"/>
      <c r="C357" s="189"/>
      <c r="D357" s="189"/>
      <c r="E357" s="189"/>
      <c r="F357" s="189"/>
      <c r="G357" s="189"/>
      <c r="H357" s="189"/>
      <c r="I357" s="5"/>
      <c r="J357" s="6"/>
      <c r="K357" s="5"/>
      <c r="L357" s="189"/>
      <c r="M357" s="189"/>
      <c r="N357" s="189"/>
      <c r="O357" s="190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  <c r="AA357" s="185"/>
      <c r="AB357" s="185"/>
      <c r="AC357" s="185"/>
    </row>
    <row r="358" spans="1:29" ht="15.75" customHeight="1">
      <c r="A358" s="185"/>
      <c r="B358" s="189"/>
      <c r="C358" s="189"/>
      <c r="D358" s="189"/>
      <c r="E358" s="189"/>
      <c r="F358" s="189"/>
      <c r="G358" s="189"/>
      <c r="H358" s="189"/>
      <c r="I358" s="5"/>
      <c r="J358" s="6"/>
      <c r="K358" s="5"/>
      <c r="L358" s="189"/>
      <c r="M358" s="189"/>
      <c r="N358" s="189"/>
      <c r="O358" s="190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  <c r="AA358" s="185"/>
      <c r="AB358" s="185"/>
      <c r="AC358" s="185"/>
    </row>
    <row r="359" spans="1:29" ht="15.75" customHeight="1">
      <c r="A359" s="185"/>
      <c r="B359" s="189"/>
      <c r="C359" s="189"/>
      <c r="D359" s="189"/>
      <c r="E359" s="189"/>
      <c r="F359" s="189"/>
      <c r="G359" s="189"/>
      <c r="H359" s="189"/>
      <c r="I359" s="5"/>
      <c r="J359" s="6"/>
      <c r="K359" s="5"/>
      <c r="L359" s="189"/>
      <c r="M359" s="189"/>
      <c r="N359" s="189"/>
      <c r="O359" s="190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  <c r="AA359" s="185"/>
      <c r="AB359" s="185"/>
      <c r="AC359" s="185"/>
    </row>
    <row r="360" spans="1:29" ht="15.75" customHeight="1">
      <c r="A360" s="185"/>
      <c r="B360" s="189"/>
      <c r="C360" s="189"/>
      <c r="D360" s="189"/>
      <c r="E360" s="189"/>
      <c r="F360" s="189"/>
      <c r="G360" s="189"/>
      <c r="H360" s="189"/>
      <c r="I360" s="5"/>
      <c r="J360" s="6"/>
      <c r="K360" s="5"/>
      <c r="L360" s="189"/>
      <c r="M360" s="189"/>
      <c r="N360" s="189"/>
      <c r="O360" s="190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  <c r="AA360" s="185"/>
      <c r="AB360" s="185"/>
      <c r="AC360" s="185"/>
    </row>
    <row r="361" spans="1:29" ht="15.75" customHeight="1">
      <c r="A361" s="185"/>
      <c r="B361" s="189"/>
      <c r="C361" s="189"/>
      <c r="D361" s="189"/>
      <c r="E361" s="189"/>
      <c r="F361" s="189"/>
      <c r="G361" s="189"/>
      <c r="H361" s="189"/>
      <c r="I361" s="5"/>
      <c r="J361" s="6"/>
      <c r="K361" s="5"/>
      <c r="L361" s="189"/>
      <c r="M361" s="189"/>
      <c r="N361" s="189"/>
      <c r="O361" s="190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  <c r="AA361" s="185"/>
      <c r="AB361" s="185"/>
      <c r="AC361" s="185"/>
    </row>
    <row r="362" spans="1:29" ht="15.75" customHeight="1">
      <c r="A362" s="185"/>
      <c r="B362" s="189"/>
      <c r="C362" s="189"/>
      <c r="D362" s="189"/>
      <c r="E362" s="189"/>
      <c r="F362" s="189"/>
      <c r="G362" s="189"/>
      <c r="H362" s="189"/>
      <c r="I362" s="5"/>
      <c r="J362" s="6"/>
      <c r="K362" s="5"/>
      <c r="L362" s="189"/>
      <c r="M362" s="189"/>
      <c r="N362" s="189"/>
      <c r="O362" s="190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  <c r="AA362" s="185"/>
      <c r="AB362" s="185"/>
      <c r="AC362" s="185"/>
    </row>
    <row r="363" spans="1:29" ht="15.75" customHeight="1">
      <c r="A363" s="185"/>
      <c r="B363" s="189"/>
      <c r="C363" s="189"/>
      <c r="D363" s="189"/>
      <c r="E363" s="189"/>
      <c r="F363" s="189"/>
      <c r="G363" s="189"/>
      <c r="H363" s="189"/>
      <c r="I363" s="5"/>
      <c r="J363" s="6"/>
      <c r="K363" s="5"/>
      <c r="L363" s="189"/>
      <c r="M363" s="189"/>
      <c r="N363" s="189"/>
      <c r="O363" s="190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  <c r="AA363" s="185"/>
      <c r="AB363" s="185"/>
      <c r="AC363" s="185"/>
    </row>
    <row r="364" spans="1:29" ht="15.75" customHeight="1">
      <c r="A364" s="185"/>
      <c r="B364" s="189"/>
      <c r="C364" s="189"/>
      <c r="D364" s="189"/>
      <c r="E364" s="189"/>
      <c r="F364" s="189"/>
      <c r="G364" s="189"/>
      <c r="H364" s="189"/>
      <c r="I364" s="5"/>
      <c r="J364" s="6"/>
      <c r="K364" s="5"/>
      <c r="L364" s="189"/>
      <c r="M364" s="189"/>
      <c r="N364" s="189"/>
      <c r="O364" s="190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  <c r="AA364" s="185"/>
      <c r="AB364" s="185"/>
      <c r="AC364" s="185"/>
    </row>
    <row r="365" spans="1:29" ht="15.75" customHeight="1">
      <c r="A365" s="185"/>
      <c r="B365" s="189"/>
      <c r="C365" s="189"/>
      <c r="D365" s="189"/>
      <c r="E365" s="189"/>
      <c r="F365" s="189"/>
      <c r="G365" s="189"/>
      <c r="H365" s="189"/>
      <c r="I365" s="5"/>
      <c r="J365" s="6"/>
      <c r="K365" s="5"/>
      <c r="L365" s="189"/>
      <c r="M365" s="189"/>
      <c r="N365" s="189"/>
      <c r="O365" s="190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  <c r="AA365" s="185"/>
      <c r="AB365" s="185"/>
      <c r="AC365" s="185"/>
    </row>
    <row r="366" spans="1:29" ht="15.75" customHeight="1">
      <c r="A366" s="185"/>
      <c r="B366" s="189"/>
      <c r="C366" s="189"/>
      <c r="D366" s="189"/>
      <c r="E366" s="189"/>
      <c r="F366" s="189"/>
      <c r="G366" s="189"/>
      <c r="H366" s="189"/>
      <c r="I366" s="5"/>
      <c r="J366" s="6"/>
      <c r="K366" s="5"/>
      <c r="L366" s="189"/>
      <c r="M366" s="189"/>
      <c r="N366" s="189"/>
      <c r="O366" s="190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  <c r="AA366" s="185"/>
      <c r="AB366" s="185"/>
      <c r="AC366" s="185"/>
    </row>
    <row r="367" spans="1:29" ht="15.75" customHeight="1">
      <c r="A367" s="185"/>
      <c r="B367" s="189"/>
      <c r="C367" s="189"/>
      <c r="D367" s="189"/>
      <c r="E367" s="189"/>
      <c r="F367" s="189"/>
      <c r="G367" s="189"/>
      <c r="H367" s="189"/>
      <c r="I367" s="5"/>
      <c r="J367" s="6"/>
      <c r="K367" s="5"/>
      <c r="L367" s="189"/>
      <c r="M367" s="189"/>
      <c r="N367" s="189"/>
      <c r="O367" s="190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  <c r="AA367" s="185"/>
      <c r="AB367" s="185"/>
      <c r="AC367" s="185"/>
    </row>
    <row r="368" spans="1:29" ht="15.75" customHeight="1">
      <c r="A368" s="185"/>
      <c r="B368" s="189"/>
      <c r="C368" s="189"/>
      <c r="D368" s="189"/>
      <c r="E368" s="189"/>
      <c r="F368" s="189"/>
      <c r="G368" s="189"/>
      <c r="H368" s="189"/>
      <c r="I368" s="5"/>
      <c r="J368" s="6"/>
      <c r="K368" s="5"/>
      <c r="L368" s="189"/>
      <c r="M368" s="189"/>
      <c r="N368" s="189"/>
      <c r="O368" s="190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  <c r="AA368" s="185"/>
      <c r="AB368" s="185"/>
      <c r="AC368" s="185"/>
    </row>
    <row r="369" spans="1:29" ht="15.75" customHeight="1">
      <c r="A369" s="185"/>
      <c r="B369" s="189"/>
      <c r="C369" s="189"/>
      <c r="D369" s="189"/>
      <c r="E369" s="189"/>
      <c r="F369" s="189"/>
      <c r="G369" s="189"/>
      <c r="H369" s="189"/>
      <c r="I369" s="5"/>
      <c r="J369" s="6"/>
      <c r="K369" s="5"/>
      <c r="L369" s="189"/>
      <c r="M369" s="189"/>
      <c r="N369" s="189"/>
      <c r="O369" s="190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  <c r="AA369" s="185"/>
      <c r="AB369" s="185"/>
      <c r="AC369" s="185"/>
    </row>
    <row r="370" spans="1:29" ht="15.75" customHeight="1">
      <c r="A370" s="185"/>
      <c r="B370" s="189"/>
      <c r="C370" s="189"/>
      <c r="D370" s="189"/>
      <c r="E370" s="189"/>
      <c r="F370" s="189"/>
      <c r="G370" s="189"/>
      <c r="H370" s="189"/>
      <c r="I370" s="5"/>
      <c r="J370" s="6"/>
      <c r="K370" s="5"/>
      <c r="L370" s="189"/>
      <c r="M370" s="189"/>
      <c r="N370" s="189"/>
      <c r="O370" s="190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  <c r="AA370" s="185"/>
      <c r="AB370" s="185"/>
      <c r="AC370" s="185"/>
    </row>
    <row r="371" spans="1:29" ht="15.75" customHeight="1">
      <c r="A371" s="185"/>
      <c r="B371" s="189"/>
      <c r="C371" s="189"/>
      <c r="D371" s="189"/>
      <c r="E371" s="189"/>
      <c r="F371" s="189"/>
      <c r="G371" s="189"/>
      <c r="H371" s="189"/>
      <c r="I371" s="5"/>
      <c r="J371" s="6"/>
      <c r="K371" s="5"/>
      <c r="L371" s="189"/>
      <c r="M371" s="189"/>
      <c r="N371" s="189"/>
      <c r="O371" s="190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  <c r="AA371" s="185"/>
      <c r="AB371" s="185"/>
      <c r="AC371" s="185"/>
    </row>
    <row r="372" spans="1:29" ht="15.75" customHeight="1">
      <c r="A372" s="185"/>
      <c r="B372" s="189"/>
      <c r="C372" s="189"/>
      <c r="D372" s="189"/>
      <c r="E372" s="189"/>
      <c r="F372" s="189"/>
      <c r="G372" s="189"/>
      <c r="H372" s="189"/>
      <c r="I372" s="5"/>
      <c r="J372" s="6"/>
      <c r="K372" s="5"/>
      <c r="L372" s="189"/>
      <c r="M372" s="189"/>
      <c r="N372" s="189"/>
      <c r="O372" s="190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  <c r="AA372" s="185"/>
      <c r="AB372" s="185"/>
      <c r="AC372" s="185"/>
    </row>
    <row r="373" spans="1:29" ht="15.75" customHeight="1">
      <c r="A373" s="185"/>
      <c r="B373" s="189"/>
      <c r="C373" s="189"/>
      <c r="D373" s="189"/>
      <c r="E373" s="189"/>
      <c r="F373" s="189"/>
      <c r="G373" s="189"/>
      <c r="H373" s="189"/>
      <c r="I373" s="5"/>
      <c r="J373" s="6"/>
      <c r="K373" s="5"/>
      <c r="L373" s="189"/>
      <c r="M373" s="189"/>
      <c r="N373" s="189"/>
      <c r="O373" s="190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  <c r="AA373" s="185"/>
      <c r="AB373" s="185"/>
      <c r="AC373" s="185"/>
    </row>
    <row r="374" spans="1:29" ht="15.75" customHeight="1">
      <c r="A374" s="185"/>
      <c r="B374" s="189"/>
      <c r="C374" s="189"/>
      <c r="D374" s="189"/>
      <c r="E374" s="189"/>
      <c r="F374" s="189"/>
      <c r="G374" s="189"/>
      <c r="H374" s="189"/>
      <c r="I374" s="5"/>
      <c r="J374" s="6"/>
      <c r="K374" s="5"/>
      <c r="L374" s="189"/>
      <c r="M374" s="189"/>
      <c r="N374" s="189"/>
      <c r="O374" s="190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  <c r="AA374" s="185"/>
      <c r="AB374" s="185"/>
      <c r="AC374" s="185"/>
    </row>
    <row r="375" spans="1:29" ht="15.75" customHeight="1">
      <c r="A375" s="185"/>
      <c r="B375" s="189"/>
      <c r="C375" s="189"/>
      <c r="D375" s="189"/>
      <c r="E375" s="189"/>
      <c r="F375" s="189"/>
      <c r="G375" s="189"/>
      <c r="H375" s="189"/>
      <c r="I375" s="5"/>
      <c r="J375" s="6"/>
      <c r="K375" s="5"/>
      <c r="L375" s="189"/>
      <c r="M375" s="189"/>
      <c r="N375" s="189"/>
      <c r="O375" s="190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  <c r="AA375" s="185"/>
      <c r="AB375" s="185"/>
      <c r="AC375" s="185"/>
    </row>
    <row r="376" spans="1:29" ht="15.75" customHeight="1">
      <c r="A376" s="185"/>
      <c r="B376" s="189"/>
      <c r="C376" s="189"/>
      <c r="D376" s="189"/>
      <c r="E376" s="189"/>
      <c r="F376" s="189"/>
      <c r="G376" s="189"/>
      <c r="H376" s="189"/>
      <c r="I376" s="5"/>
      <c r="J376" s="6"/>
      <c r="K376" s="5"/>
      <c r="L376" s="189"/>
      <c r="M376" s="189"/>
      <c r="N376" s="189"/>
      <c r="O376" s="190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  <c r="AA376" s="185"/>
      <c r="AB376" s="185"/>
      <c r="AC376" s="185"/>
    </row>
    <row r="377" spans="1:29" ht="15.75" customHeight="1">
      <c r="A377" s="185"/>
      <c r="B377" s="189"/>
      <c r="C377" s="189"/>
      <c r="D377" s="189"/>
      <c r="E377" s="189"/>
      <c r="F377" s="189"/>
      <c r="G377" s="189"/>
      <c r="H377" s="189"/>
      <c r="I377" s="5"/>
      <c r="J377" s="6"/>
      <c r="K377" s="5"/>
      <c r="L377" s="189"/>
      <c r="M377" s="189"/>
      <c r="N377" s="189"/>
      <c r="O377" s="190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  <c r="AA377" s="185"/>
      <c r="AB377" s="185"/>
      <c r="AC377" s="185"/>
    </row>
    <row r="378" spans="1:29" ht="15.75" customHeight="1">
      <c r="A378" s="185"/>
      <c r="B378" s="189"/>
      <c r="C378" s="189"/>
      <c r="D378" s="189"/>
      <c r="E378" s="189"/>
      <c r="F378" s="189"/>
      <c r="G378" s="189"/>
      <c r="H378" s="189"/>
      <c r="I378" s="5"/>
      <c r="J378" s="6"/>
      <c r="K378" s="5"/>
      <c r="L378" s="189"/>
      <c r="M378" s="189"/>
      <c r="N378" s="189"/>
      <c r="O378" s="190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  <c r="AA378" s="185"/>
      <c r="AB378" s="185"/>
      <c r="AC378" s="185"/>
    </row>
    <row r="379" spans="1:29" ht="15.75" customHeight="1">
      <c r="A379" s="185"/>
      <c r="B379" s="189"/>
      <c r="C379" s="189"/>
      <c r="D379" s="189"/>
      <c r="E379" s="189"/>
      <c r="F379" s="189"/>
      <c r="G379" s="189"/>
      <c r="H379" s="189"/>
      <c r="I379" s="5"/>
      <c r="J379" s="6"/>
      <c r="K379" s="5"/>
      <c r="L379" s="189"/>
      <c r="M379" s="189"/>
      <c r="N379" s="189"/>
      <c r="O379" s="190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  <c r="AA379" s="185"/>
      <c r="AB379" s="185"/>
      <c r="AC379" s="185"/>
    </row>
    <row r="380" spans="1:29" ht="15.75" customHeight="1">
      <c r="A380" s="185"/>
      <c r="B380" s="189"/>
      <c r="C380" s="189"/>
      <c r="D380" s="189"/>
      <c r="E380" s="189"/>
      <c r="F380" s="189"/>
      <c r="G380" s="189"/>
      <c r="H380" s="189"/>
      <c r="I380" s="5"/>
      <c r="J380" s="6"/>
      <c r="K380" s="5"/>
      <c r="L380" s="189"/>
      <c r="M380" s="189"/>
      <c r="N380" s="189"/>
      <c r="O380" s="190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  <c r="AA380" s="185"/>
      <c r="AB380" s="185"/>
      <c r="AC380" s="185"/>
    </row>
    <row r="381" spans="1:29" ht="15.75" customHeight="1">
      <c r="A381" s="185"/>
      <c r="B381" s="189"/>
      <c r="C381" s="189"/>
      <c r="D381" s="189"/>
      <c r="E381" s="189"/>
      <c r="F381" s="189"/>
      <c r="G381" s="189"/>
      <c r="H381" s="189"/>
      <c r="I381" s="5"/>
      <c r="J381" s="6"/>
      <c r="K381" s="5"/>
      <c r="L381" s="189"/>
      <c r="M381" s="189"/>
      <c r="N381" s="189"/>
      <c r="O381" s="190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  <c r="AA381" s="185"/>
      <c r="AB381" s="185"/>
      <c r="AC381" s="185"/>
    </row>
    <row r="382" spans="1:29" ht="15.75" customHeight="1">
      <c r="A382" s="185"/>
      <c r="B382" s="189"/>
      <c r="C382" s="189"/>
      <c r="D382" s="189"/>
      <c r="E382" s="189"/>
      <c r="F382" s="189"/>
      <c r="G382" s="189"/>
      <c r="H382" s="189"/>
      <c r="I382" s="5"/>
      <c r="J382" s="6"/>
      <c r="K382" s="5"/>
      <c r="L382" s="189"/>
      <c r="M382" s="189"/>
      <c r="N382" s="189"/>
      <c r="O382" s="190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  <c r="AA382" s="185"/>
      <c r="AB382" s="185"/>
      <c r="AC382" s="185"/>
    </row>
    <row r="383" spans="1:29" ht="15.75" customHeight="1">
      <c r="A383" s="185"/>
      <c r="B383" s="189"/>
      <c r="C383" s="189"/>
      <c r="D383" s="189"/>
      <c r="E383" s="189"/>
      <c r="F383" s="189"/>
      <c r="G383" s="189"/>
      <c r="H383" s="189"/>
      <c r="I383" s="5"/>
      <c r="J383" s="6"/>
      <c r="K383" s="5"/>
      <c r="L383" s="189"/>
      <c r="M383" s="189"/>
      <c r="N383" s="189"/>
      <c r="O383" s="190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  <c r="AA383" s="185"/>
      <c r="AB383" s="185"/>
      <c r="AC383" s="185"/>
    </row>
    <row r="384" spans="1:29" ht="15.75" customHeight="1">
      <c r="A384" s="185"/>
      <c r="B384" s="189"/>
      <c r="C384" s="189"/>
      <c r="D384" s="189"/>
      <c r="E384" s="189"/>
      <c r="F384" s="189"/>
      <c r="G384" s="189"/>
      <c r="H384" s="189"/>
      <c r="I384" s="5"/>
      <c r="J384" s="6"/>
      <c r="K384" s="5"/>
      <c r="L384" s="189"/>
      <c r="M384" s="189"/>
      <c r="N384" s="189"/>
      <c r="O384" s="190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  <c r="AA384" s="185"/>
      <c r="AB384" s="185"/>
      <c r="AC384" s="185"/>
    </row>
    <row r="385" spans="1:29" ht="15.75" customHeight="1">
      <c r="A385" s="185"/>
      <c r="B385" s="189"/>
      <c r="C385" s="189"/>
      <c r="D385" s="189"/>
      <c r="E385" s="189"/>
      <c r="F385" s="189"/>
      <c r="G385" s="189"/>
      <c r="H385" s="189"/>
      <c r="I385" s="5"/>
      <c r="J385" s="6"/>
      <c r="K385" s="5"/>
      <c r="L385" s="189"/>
      <c r="M385" s="189"/>
      <c r="N385" s="189"/>
      <c r="O385" s="190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  <c r="AA385" s="185"/>
      <c r="AB385" s="185"/>
      <c r="AC385" s="185"/>
    </row>
    <row r="386" spans="1:29" ht="15.75" customHeight="1">
      <c r="A386" s="185"/>
      <c r="B386" s="189"/>
      <c r="C386" s="189"/>
      <c r="D386" s="189"/>
      <c r="E386" s="189"/>
      <c r="F386" s="189"/>
      <c r="G386" s="189"/>
      <c r="H386" s="189"/>
      <c r="I386" s="5"/>
      <c r="J386" s="6"/>
      <c r="K386" s="5"/>
      <c r="L386" s="189"/>
      <c r="M386" s="189"/>
      <c r="N386" s="189"/>
      <c r="O386" s="190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  <c r="AA386" s="185"/>
      <c r="AB386" s="185"/>
      <c r="AC386" s="185"/>
    </row>
    <row r="387" spans="1:29" ht="15.75" customHeight="1">
      <c r="A387" s="185"/>
      <c r="B387" s="189"/>
      <c r="C387" s="189"/>
      <c r="D387" s="189"/>
      <c r="E387" s="189"/>
      <c r="F387" s="189"/>
      <c r="G387" s="189"/>
      <c r="H387" s="189"/>
      <c r="I387" s="5"/>
      <c r="J387" s="6"/>
      <c r="K387" s="5"/>
      <c r="L387" s="189"/>
      <c r="M387" s="189"/>
      <c r="N387" s="189"/>
      <c r="O387" s="190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  <c r="AA387" s="185"/>
      <c r="AB387" s="185"/>
      <c r="AC387" s="185"/>
    </row>
    <row r="388" spans="1:29" ht="15.75" customHeight="1">
      <c r="A388" s="185"/>
      <c r="B388" s="189"/>
      <c r="C388" s="189"/>
      <c r="D388" s="189"/>
      <c r="E388" s="189"/>
      <c r="F388" s="189"/>
      <c r="G388" s="189"/>
      <c r="H388" s="189"/>
      <c r="I388" s="5"/>
      <c r="J388" s="6"/>
      <c r="K388" s="5"/>
      <c r="L388" s="189"/>
      <c r="M388" s="189"/>
      <c r="N388" s="189"/>
      <c r="O388" s="190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  <c r="AA388" s="185"/>
      <c r="AB388" s="185"/>
      <c r="AC388" s="185"/>
    </row>
    <row r="389" spans="1:29" ht="15.75" customHeight="1">
      <c r="A389" s="185"/>
      <c r="B389" s="189"/>
      <c r="C389" s="189"/>
      <c r="D389" s="189"/>
      <c r="E389" s="189"/>
      <c r="F389" s="189"/>
      <c r="G389" s="189"/>
      <c r="H389" s="189"/>
      <c r="I389" s="5"/>
      <c r="J389" s="6"/>
      <c r="K389" s="5"/>
      <c r="L389" s="189"/>
      <c r="M389" s="189"/>
      <c r="N389" s="189"/>
      <c r="O389" s="190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  <c r="AA389" s="185"/>
      <c r="AB389" s="185"/>
      <c r="AC389" s="185"/>
    </row>
    <row r="390" spans="1:29" ht="15.75" customHeight="1">
      <c r="A390" s="185"/>
      <c r="B390" s="189"/>
      <c r="C390" s="189"/>
      <c r="D390" s="189"/>
      <c r="E390" s="189"/>
      <c r="F390" s="189"/>
      <c r="G390" s="189"/>
      <c r="H390" s="189"/>
      <c r="I390" s="5"/>
      <c r="J390" s="6"/>
      <c r="K390" s="5"/>
      <c r="L390" s="189"/>
      <c r="M390" s="189"/>
      <c r="N390" s="189"/>
      <c r="O390" s="190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  <c r="AA390" s="185"/>
      <c r="AB390" s="185"/>
      <c r="AC390" s="185"/>
    </row>
    <row r="391" spans="1:29" ht="15.75" customHeight="1">
      <c r="A391" s="185"/>
      <c r="B391" s="189"/>
      <c r="C391" s="189"/>
      <c r="D391" s="189"/>
      <c r="E391" s="189"/>
      <c r="F391" s="189"/>
      <c r="G391" s="189"/>
      <c r="H391" s="189"/>
      <c r="I391" s="5"/>
      <c r="J391" s="6"/>
      <c r="K391" s="5"/>
      <c r="L391" s="189"/>
      <c r="M391" s="189"/>
      <c r="N391" s="189"/>
      <c r="O391" s="190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  <c r="AA391" s="185"/>
      <c r="AB391" s="185"/>
      <c r="AC391" s="185"/>
    </row>
    <row r="392" spans="1:29" ht="15.75" customHeight="1">
      <c r="A392" s="185"/>
      <c r="B392" s="189"/>
      <c r="C392" s="189"/>
      <c r="D392" s="189"/>
      <c r="E392" s="189"/>
      <c r="F392" s="189"/>
      <c r="G392" s="189"/>
      <c r="H392" s="189"/>
      <c r="I392" s="5"/>
      <c r="J392" s="6"/>
      <c r="K392" s="5"/>
      <c r="L392" s="189"/>
      <c r="M392" s="189"/>
      <c r="N392" s="189"/>
      <c r="O392" s="190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  <c r="AA392" s="185"/>
      <c r="AB392" s="185"/>
      <c r="AC392" s="185"/>
    </row>
    <row r="393" spans="1:29" ht="15.75" customHeight="1">
      <c r="A393" s="185"/>
      <c r="B393" s="189"/>
      <c r="C393" s="189"/>
      <c r="D393" s="189"/>
      <c r="E393" s="189"/>
      <c r="F393" s="189"/>
      <c r="G393" s="189"/>
      <c r="H393" s="189"/>
      <c r="I393" s="5"/>
      <c r="J393" s="6"/>
      <c r="K393" s="5"/>
      <c r="L393" s="189"/>
      <c r="M393" s="189"/>
      <c r="N393" s="189"/>
      <c r="O393" s="190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  <c r="AA393" s="185"/>
      <c r="AB393" s="185"/>
      <c r="AC393" s="185"/>
    </row>
    <row r="394" spans="1:29" ht="15.75" customHeight="1">
      <c r="A394" s="185"/>
      <c r="B394" s="189"/>
      <c r="C394" s="189"/>
      <c r="D394" s="189"/>
      <c r="E394" s="189"/>
      <c r="F394" s="189"/>
      <c r="G394" s="189"/>
      <c r="H394" s="189"/>
      <c r="I394" s="5"/>
      <c r="J394" s="6"/>
      <c r="K394" s="5"/>
      <c r="L394" s="189"/>
      <c r="M394" s="189"/>
      <c r="N394" s="189"/>
      <c r="O394" s="190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  <c r="AA394" s="185"/>
      <c r="AB394" s="185"/>
      <c r="AC394" s="185"/>
    </row>
    <row r="395" spans="1:29" ht="15.75" customHeight="1">
      <c r="A395" s="185"/>
      <c r="B395" s="189"/>
      <c r="C395" s="189"/>
      <c r="D395" s="189"/>
      <c r="E395" s="189"/>
      <c r="F395" s="189"/>
      <c r="G395" s="189"/>
      <c r="H395" s="189"/>
      <c r="I395" s="5"/>
      <c r="J395" s="6"/>
      <c r="K395" s="5"/>
      <c r="L395" s="189"/>
      <c r="M395" s="189"/>
      <c r="N395" s="189"/>
      <c r="O395" s="190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  <c r="AA395" s="185"/>
      <c r="AB395" s="185"/>
      <c r="AC395" s="185"/>
    </row>
    <row r="396" spans="1:29" ht="15.75" customHeight="1">
      <c r="A396" s="185"/>
      <c r="B396" s="189"/>
      <c r="C396" s="189"/>
      <c r="D396" s="189"/>
      <c r="E396" s="189"/>
      <c r="F396" s="189"/>
      <c r="G396" s="189"/>
      <c r="H396" s="189"/>
      <c r="I396" s="5"/>
      <c r="J396" s="6"/>
      <c r="K396" s="5"/>
      <c r="L396" s="189"/>
      <c r="M396" s="189"/>
      <c r="N396" s="189"/>
      <c r="O396" s="190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  <c r="AA396" s="185"/>
      <c r="AB396" s="185"/>
      <c r="AC396" s="185"/>
    </row>
    <row r="397" spans="1:29" ht="15.75" customHeight="1">
      <c r="A397" s="185"/>
      <c r="B397" s="189"/>
      <c r="C397" s="189"/>
      <c r="D397" s="189"/>
      <c r="E397" s="189"/>
      <c r="F397" s="189"/>
      <c r="G397" s="189"/>
      <c r="H397" s="189"/>
      <c r="I397" s="5"/>
      <c r="J397" s="6"/>
      <c r="K397" s="5"/>
      <c r="L397" s="189"/>
      <c r="M397" s="189"/>
      <c r="N397" s="189"/>
      <c r="O397" s="190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  <c r="AA397" s="185"/>
      <c r="AB397" s="185"/>
      <c r="AC397" s="185"/>
    </row>
    <row r="398" spans="1:29" ht="15.75" customHeight="1">
      <c r="A398" s="185"/>
      <c r="B398" s="189"/>
      <c r="C398" s="189"/>
      <c r="D398" s="189"/>
      <c r="E398" s="189"/>
      <c r="F398" s="189"/>
      <c r="G398" s="189"/>
      <c r="H398" s="189"/>
      <c r="I398" s="5"/>
      <c r="J398" s="6"/>
      <c r="K398" s="5"/>
      <c r="L398" s="189"/>
      <c r="M398" s="189"/>
      <c r="N398" s="189"/>
      <c r="O398" s="190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  <c r="AA398" s="185"/>
      <c r="AB398" s="185"/>
      <c r="AC398" s="185"/>
    </row>
    <row r="399" spans="1:29" ht="15.75" customHeight="1">
      <c r="A399" s="185"/>
      <c r="B399" s="189"/>
      <c r="C399" s="189"/>
      <c r="D399" s="189"/>
      <c r="E399" s="189"/>
      <c r="F399" s="189"/>
      <c r="G399" s="189"/>
      <c r="H399" s="189"/>
      <c r="I399" s="5"/>
      <c r="J399" s="6"/>
      <c r="K399" s="5"/>
      <c r="L399" s="189"/>
      <c r="M399" s="189"/>
      <c r="N399" s="189"/>
      <c r="O399" s="190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  <c r="AA399" s="185"/>
      <c r="AB399" s="185"/>
      <c r="AC399" s="185"/>
    </row>
    <row r="400" spans="1:29" ht="15.75" customHeight="1">
      <c r="A400" s="185"/>
      <c r="B400" s="189"/>
      <c r="C400" s="189"/>
      <c r="D400" s="189"/>
      <c r="E400" s="189"/>
      <c r="F400" s="189"/>
      <c r="G400" s="189"/>
      <c r="H400" s="189"/>
      <c r="I400" s="5"/>
      <c r="J400" s="6"/>
      <c r="K400" s="5"/>
      <c r="L400" s="189"/>
      <c r="M400" s="189"/>
      <c r="N400" s="189"/>
      <c r="O400" s="190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  <c r="AA400" s="185"/>
      <c r="AB400" s="185"/>
      <c r="AC400" s="185"/>
    </row>
    <row r="401" spans="1:29" ht="15.75" customHeight="1">
      <c r="A401" s="185"/>
      <c r="B401" s="189"/>
      <c r="C401" s="189"/>
      <c r="D401" s="189"/>
      <c r="E401" s="189"/>
      <c r="F401" s="189"/>
      <c r="G401" s="189"/>
      <c r="H401" s="189"/>
      <c r="I401" s="5"/>
      <c r="J401" s="6"/>
      <c r="K401" s="5"/>
      <c r="L401" s="189"/>
      <c r="M401" s="189"/>
      <c r="N401" s="189"/>
      <c r="O401" s="190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  <c r="AA401" s="185"/>
      <c r="AB401" s="185"/>
      <c r="AC401" s="185"/>
    </row>
    <row r="402" spans="1:29" ht="15.75" customHeight="1">
      <c r="A402" s="185"/>
      <c r="B402" s="189"/>
      <c r="C402" s="189"/>
      <c r="D402" s="189"/>
      <c r="E402" s="189"/>
      <c r="F402" s="189"/>
      <c r="G402" s="189"/>
      <c r="H402" s="189"/>
      <c r="I402" s="5"/>
      <c r="J402" s="6"/>
      <c r="K402" s="5"/>
      <c r="L402" s="189"/>
      <c r="M402" s="189"/>
      <c r="N402" s="189"/>
      <c r="O402" s="190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  <c r="AA402" s="185"/>
      <c r="AB402" s="185"/>
      <c r="AC402" s="185"/>
    </row>
    <row r="403" spans="1:29" ht="15.75" customHeight="1">
      <c r="A403" s="185"/>
      <c r="B403" s="189"/>
      <c r="C403" s="189"/>
      <c r="D403" s="189"/>
      <c r="E403" s="189"/>
      <c r="F403" s="189"/>
      <c r="G403" s="189"/>
      <c r="H403" s="189"/>
      <c r="I403" s="5"/>
      <c r="J403" s="6"/>
      <c r="K403" s="5"/>
      <c r="L403" s="189"/>
      <c r="M403" s="189"/>
      <c r="N403" s="189"/>
      <c r="O403" s="190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  <c r="AA403" s="185"/>
      <c r="AB403" s="185"/>
      <c r="AC403" s="185"/>
    </row>
    <row r="404" spans="1:29" ht="15.75" customHeight="1">
      <c r="A404" s="185"/>
      <c r="B404" s="189"/>
      <c r="C404" s="189"/>
      <c r="D404" s="189"/>
      <c r="E404" s="189"/>
      <c r="F404" s="189"/>
      <c r="G404" s="189"/>
      <c r="H404" s="189"/>
      <c r="I404" s="5"/>
      <c r="J404" s="6"/>
      <c r="K404" s="5"/>
      <c r="L404" s="189"/>
      <c r="M404" s="189"/>
      <c r="N404" s="189"/>
      <c r="O404" s="190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  <c r="AA404" s="185"/>
      <c r="AB404" s="185"/>
      <c r="AC404" s="185"/>
    </row>
    <row r="405" spans="1:29" ht="15.75" customHeight="1">
      <c r="A405" s="185"/>
      <c r="B405" s="189"/>
      <c r="C405" s="189"/>
      <c r="D405" s="189"/>
      <c r="E405" s="189"/>
      <c r="F405" s="189"/>
      <c r="G405" s="189"/>
      <c r="H405" s="189"/>
      <c r="I405" s="5"/>
      <c r="J405" s="6"/>
      <c r="K405" s="5"/>
      <c r="L405" s="189"/>
      <c r="M405" s="189"/>
      <c r="N405" s="189"/>
      <c r="O405" s="190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  <c r="AA405" s="185"/>
      <c r="AB405" s="185"/>
      <c r="AC405" s="185"/>
    </row>
    <row r="406" spans="1:29" ht="15.75" customHeight="1">
      <c r="A406" s="185"/>
      <c r="B406" s="189"/>
      <c r="C406" s="189"/>
      <c r="D406" s="189"/>
      <c r="E406" s="189"/>
      <c r="F406" s="189"/>
      <c r="G406" s="189"/>
      <c r="H406" s="189"/>
      <c r="I406" s="5"/>
      <c r="J406" s="6"/>
      <c r="K406" s="5"/>
      <c r="L406" s="189"/>
      <c r="M406" s="189"/>
      <c r="N406" s="189"/>
      <c r="O406" s="190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  <c r="AA406" s="185"/>
      <c r="AB406" s="185"/>
      <c r="AC406" s="185"/>
    </row>
    <row r="407" spans="1:29" ht="15.75" customHeight="1">
      <c r="A407" s="185"/>
      <c r="B407" s="189"/>
      <c r="C407" s="189"/>
      <c r="D407" s="189"/>
      <c r="E407" s="189"/>
      <c r="F407" s="189"/>
      <c r="G407" s="189"/>
      <c r="H407" s="189"/>
      <c r="I407" s="5"/>
      <c r="J407" s="6"/>
      <c r="K407" s="5"/>
      <c r="L407" s="189"/>
      <c r="M407" s="189"/>
      <c r="N407" s="189"/>
      <c r="O407" s="190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  <c r="AA407" s="185"/>
      <c r="AB407" s="185"/>
      <c r="AC407" s="185"/>
    </row>
    <row r="408" spans="1:29" ht="15.75" customHeight="1">
      <c r="A408" s="185"/>
      <c r="B408" s="189"/>
      <c r="C408" s="189"/>
      <c r="D408" s="189"/>
      <c r="E408" s="189"/>
      <c r="F408" s="189"/>
      <c r="G408" s="189"/>
      <c r="H408" s="189"/>
      <c r="I408" s="5"/>
      <c r="J408" s="6"/>
      <c r="K408" s="5"/>
      <c r="L408" s="189"/>
      <c r="M408" s="189"/>
      <c r="N408" s="189"/>
      <c r="O408" s="190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  <c r="AA408" s="185"/>
      <c r="AB408" s="185"/>
      <c r="AC408" s="185"/>
    </row>
    <row r="409" spans="1:29" ht="15.75" customHeight="1">
      <c r="A409" s="185"/>
      <c r="B409" s="189"/>
      <c r="C409" s="189"/>
      <c r="D409" s="189"/>
      <c r="E409" s="189"/>
      <c r="F409" s="189"/>
      <c r="G409" s="189"/>
      <c r="H409" s="189"/>
      <c r="I409" s="5"/>
      <c r="J409" s="6"/>
      <c r="K409" s="5"/>
      <c r="L409" s="189"/>
      <c r="M409" s="189"/>
      <c r="N409" s="189"/>
      <c r="O409" s="190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  <c r="AA409" s="185"/>
      <c r="AB409" s="185"/>
      <c r="AC409" s="185"/>
    </row>
    <row r="410" spans="1:29" ht="15.75" customHeight="1">
      <c r="A410" s="185"/>
      <c r="B410" s="189"/>
      <c r="C410" s="189"/>
      <c r="D410" s="189"/>
      <c r="E410" s="189"/>
      <c r="F410" s="189"/>
      <c r="G410" s="189"/>
      <c r="H410" s="189"/>
      <c r="I410" s="5"/>
      <c r="J410" s="6"/>
      <c r="K410" s="5"/>
      <c r="L410" s="189"/>
      <c r="M410" s="189"/>
      <c r="N410" s="189"/>
      <c r="O410" s="190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  <c r="AA410" s="185"/>
      <c r="AB410" s="185"/>
      <c r="AC410" s="185"/>
    </row>
    <row r="411" spans="1:29" ht="15.75" customHeight="1">
      <c r="A411" s="185"/>
      <c r="B411" s="189"/>
      <c r="C411" s="189"/>
      <c r="D411" s="189"/>
      <c r="E411" s="189"/>
      <c r="F411" s="189"/>
      <c r="G411" s="189"/>
      <c r="H411" s="189"/>
      <c r="I411" s="5"/>
      <c r="J411" s="6"/>
      <c r="K411" s="5"/>
      <c r="L411" s="189"/>
      <c r="M411" s="189"/>
      <c r="N411" s="189"/>
      <c r="O411" s="190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  <c r="AA411" s="185"/>
      <c r="AB411" s="185"/>
      <c r="AC411" s="185"/>
    </row>
    <row r="412" spans="1:29" ht="15.75" customHeight="1">
      <c r="A412" s="185"/>
      <c r="B412" s="189"/>
      <c r="C412" s="189"/>
      <c r="D412" s="189"/>
      <c r="E412" s="189"/>
      <c r="F412" s="189"/>
      <c r="G412" s="189"/>
      <c r="H412" s="189"/>
      <c r="I412" s="5"/>
      <c r="J412" s="6"/>
      <c r="K412" s="5"/>
      <c r="L412" s="189"/>
      <c r="M412" s="189"/>
      <c r="N412" s="189"/>
      <c r="O412" s="190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  <c r="AA412" s="185"/>
      <c r="AB412" s="185"/>
      <c r="AC412" s="185"/>
    </row>
    <row r="413" spans="1:29" ht="15.75" customHeight="1">
      <c r="A413" s="185"/>
      <c r="B413" s="189"/>
      <c r="C413" s="189"/>
      <c r="D413" s="189"/>
      <c r="E413" s="189"/>
      <c r="F413" s="189"/>
      <c r="G413" s="189"/>
      <c r="H413" s="189"/>
      <c r="I413" s="5"/>
      <c r="J413" s="6"/>
      <c r="K413" s="5"/>
      <c r="L413" s="189"/>
      <c r="M413" s="189"/>
      <c r="N413" s="189"/>
      <c r="O413" s="190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  <c r="AA413" s="185"/>
      <c r="AB413" s="185"/>
      <c r="AC413" s="185"/>
    </row>
    <row r="414" spans="1:29" ht="15.75" customHeight="1">
      <c r="A414" s="185"/>
      <c r="B414" s="189"/>
      <c r="C414" s="189"/>
      <c r="D414" s="189"/>
      <c r="E414" s="189"/>
      <c r="F414" s="189"/>
      <c r="G414" s="189"/>
      <c r="H414" s="189"/>
      <c r="I414" s="5"/>
      <c r="J414" s="6"/>
      <c r="K414" s="5"/>
      <c r="L414" s="189"/>
      <c r="M414" s="189"/>
      <c r="N414" s="189"/>
      <c r="O414" s="190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  <c r="AA414" s="185"/>
      <c r="AB414" s="185"/>
      <c r="AC414" s="185"/>
    </row>
    <row r="415" spans="1:29" ht="15.75" customHeight="1">
      <c r="A415" s="185"/>
      <c r="B415" s="189"/>
      <c r="C415" s="189"/>
      <c r="D415" s="189"/>
      <c r="E415" s="189"/>
      <c r="F415" s="189"/>
      <c r="G415" s="189"/>
      <c r="H415" s="189"/>
      <c r="I415" s="5"/>
      <c r="J415" s="6"/>
      <c r="K415" s="5"/>
      <c r="L415" s="189"/>
      <c r="M415" s="189"/>
      <c r="N415" s="189"/>
      <c r="O415" s="190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  <c r="AA415" s="185"/>
      <c r="AB415" s="185"/>
      <c r="AC415" s="185"/>
    </row>
    <row r="416" spans="1:29" ht="15.75" customHeight="1">
      <c r="A416" s="185"/>
      <c r="B416" s="189"/>
      <c r="C416" s="189"/>
      <c r="D416" s="189"/>
      <c r="E416" s="189"/>
      <c r="F416" s="189"/>
      <c r="G416" s="189"/>
      <c r="H416" s="189"/>
      <c r="I416" s="5"/>
      <c r="J416" s="6"/>
      <c r="K416" s="5"/>
      <c r="L416" s="189"/>
      <c r="M416" s="189"/>
      <c r="N416" s="189"/>
      <c r="O416" s="190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  <c r="AA416" s="185"/>
      <c r="AB416" s="185"/>
      <c r="AC416" s="185"/>
    </row>
    <row r="417" spans="1:29" ht="15.75" customHeight="1">
      <c r="A417" s="185"/>
      <c r="B417" s="189"/>
      <c r="C417" s="189"/>
      <c r="D417" s="189"/>
      <c r="E417" s="189"/>
      <c r="F417" s="189"/>
      <c r="G417" s="189"/>
      <c r="H417" s="189"/>
      <c r="I417" s="5"/>
      <c r="J417" s="6"/>
      <c r="K417" s="5"/>
      <c r="L417" s="189"/>
      <c r="M417" s="189"/>
      <c r="N417" s="189"/>
      <c r="O417" s="190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  <c r="AA417" s="185"/>
      <c r="AB417" s="185"/>
      <c r="AC417" s="185"/>
    </row>
    <row r="418" spans="1:29" ht="15.75" customHeight="1">
      <c r="A418" s="185"/>
      <c r="B418" s="189"/>
      <c r="C418" s="189"/>
      <c r="D418" s="189"/>
      <c r="E418" s="189"/>
      <c r="F418" s="189"/>
      <c r="G418" s="189"/>
      <c r="H418" s="189"/>
      <c r="I418" s="5"/>
      <c r="J418" s="6"/>
      <c r="K418" s="5"/>
      <c r="L418" s="189"/>
      <c r="M418" s="189"/>
      <c r="N418" s="189"/>
      <c r="O418" s="190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  <c r="AA418" s="185"/>
      <c r="AB418" s="185"/>
      <c r="AC418" s="185"/>
    </row>
    <row r="419" spans="1:29" ht="15.75" customHeight="1">
      <c r="A419" s="185"/>
      <c r="B419" s="189"/>
      <c r="C419" s="189"/>
      <c r="D419" s="189"/>
      <c r="E419" s="189"/>
      <c r="F419" s="189"/>
      <c r="G419" s="189"/>
      <c r="H419" s="189"/>
      <c r="I419" s="5"/>
      <c r="J419" s="6"/>
      <c r="K419" s="5"/>
      <c r="L419" s="189"/>
      <c r="M419" s="189"/>
      <c r="N419" s="189"/>
      <c r="O419" s="190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  <c r="AA419" s="185"/>
      <c r="AB419" s="185"/>
      <c r="AC419" s="185"/>
    </row>
    <row r="420" spans="1:29" ht="15.75" customHeight="1">
      <c r="A420" s="185"/>
      <c r="B420" s="189"/>
      <c r="C420" s="189"/>
      <c r="D420" s="189"/>
      <c r="E420" s="189"/>
      <c r="F420" s="189"/>
      <c r="G420" s="189"/>
      <c r="H420" s="189"/>
      <c r="I420" s="5"/>
      <c r="J420" s="6"/>
      <c r="K420" s="5"/>
      <c r="L420" s="189"/>
      <c r="M420" s="189"/>
      <c r="N420" s="189"/>
      <c r="O420" s="190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  <c r="AA420" s="185"/>
      <c r="AB420" s="185"/>
      <c r="AC420" s="185"/>
    </row>
    <row r="421" spans="1:29" ht="15.75" customHeight="1">
      <c r="A421" s="185"/>
      <c r="B421" s="189"/>
      <c r="C421" s="189"/>
      <c r="D421" s="189"/>
      <c r="E421" s="189"/>
      <c r="F421" s="189"/>
      <c r="G421" s="189"/>
      <c r="H421" s="189"/>
      <c r="I421" s="5"/>
      <c r="J421" s="6"/>
      <c r="K421" s="5"/>
      <c r="L421" s="189"/>
      <c r="M421" s="189"/>
      <c r="N421" s="189"/>
      <c r="O421" s="190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  <c r="AA421" s="185"/>
      <c r="AB421" s="185"/>
      <c r="AC421" s="185"/>
    </row>
    <row r="422" spans="1:29" ht="15.75" customHeight="1">
      <c r="A422" s="185"/>
      <c r="B422" s="189"/>
      <c r="C422" s="189"/>
      <c r="D422" s="189"/>
      <c r="E422" s="189"/>
      <c r="F422" s="189"/>
      <c r="G422" s="189"/>
      <c r="H422" s="189"/>
      <c r="I422" s="5"/>
      <c r="J422" s="6"/>
      <c r="K422" s="5"/>
      <c r="L422" s="189"/>
      <c r="M422" s="189"/>
      <c r="N422" s="189"/>
      <c r="O422" s="190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  <c r="AA422" s="185"/>
      <c r="AB422" s="185"/>
      <c r="AC422" s="185"/>
    </row>
    <row r="423" spans="1:29" ht="15.75" customHeight="1">
      <c r="A423" s="185"/>
      <c r="B423" s="189"/>
      <c r="C423" s="189"/>
      <c r="D423" s="189"/>
      <c r="E423" s="189"/>
      <c r="F423" s="189"/>
      <c r="G423" s="189"/>
      <c r="H423" s="189"/>
      <c r="I423" s="5"/>
      <c r="J423" s="6"/>
      <c r="K423" s="5"/>
      <c r="L423" s="189"/>
      <c r="M423" s="189"/>
      <c r="N423" s="189"/>
      <c r="O423" s="190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  <c r="AA423" s="185"/>
      <c r="AB423" s="185"/>
      <c r="AC423" s="185"/>
    </row>
    <row r="424" spans="1:29" ht="15.75" customHeight="1">
      <c r="A424" s="185"/>
      <c r="B424" s="189"/>
      <c r="C424" s="189"/>
      <c r="D424" s="189"/>
      <c r="E424" s="189"/>
      <c r="F424" s="189"/>
      <c r="G424" s="189"/>
      <c r="H424" s="189"/>
      <c r="I424" s="5"/>
      <c r="J424" s="6"/>
      <c r="K424" s="5"/>
      <c r="L424" s="189"/>
      <c r="M424" s="189"/>
      <c r="N424" s="189"/>
      <c r="O424" s="190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  <c r="AA424" s="185"/>
      <c r="AB424" s="185"/>
      <c r="AC424" s="185"/>
    </row>
    <row r="425" spans="1:29" ht="15.75" customHeight="1">
      <c r="A425" s="185"/>
      <c r="B425" s="189"/>
      <c r="C425" s="189"/>
      <c r="D425" s="189"/>
      <c r="E425" s="189"/>
      <c r="F425" s="189"/>
      <c r="G425" s="189"/>
      <c r="H425" s="189"/>
      <c r="I425" s="5"/>
      <c r="J425" s="6"/>
      <c r="K425" s="5"/>
      <c r="L425" s="189"/>
      <c r="M425" s="189"/>
      <c r="N425" s="189"/>
      <c r="O425" s="190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  <c r="AA425" s="185"/>
      <c r="AB425" s="185"/>
      <c r="AC425" s="185"/>
    </row>
    <row r="426" spans="1:29" ht="15.75" customHeight="1">
      <c r="A426" s="185"/>
      <c r="B426" s="189"/>
      <c r="C426" s="189"/>
      <c r="D426" s="189"/>
      <c r="E426" s="189"/>
      <c r="F426" s="189"/>
      <c r="G426" s="189"/>
      <c r="H426" s="189"/>
      <c r="I426" s="5"/>
      <c r="J426" s="6"/>
      <c r="K426" s="5"/>
      <c r="L426" s="189"/>
      <c r="M426" s="189"/>
      <c r="N426" s="189"/>
      <c r="O426" s="190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  <c r="AA426" s="185"/>
      <c r="AB426" s="185"/>
      <c r="AC426" s="185"/>
    </row>
    <row r="427" spans="1:29" ht="15.75" customHeight="1">
      <c r="A427" s="185"/>
      <c r="B427" s="189"/>
      <c r="C427" s="189"/>
      <c r="D427" s="189"/>
      <c r="E427" s="189"/>
      <c r="F427" s="189"/>
      <c r="G427" s="189"/>
      <c r="H427" s="189"/>
      <c r="I427" s="5"/>
      <c r="J427" s="6"/>
      <c r="K427" s="5"/>
      <c r="L427" s="189"/>
      <c r="M427" s="189"/>
      <c r="N427" s="189"/>
      <c r="O427" s="190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  <c r="AA427" s="185"/>
      <c r="AB427" s="185"/>
      <c r="AC427" s="185"/>
    </row>
    <row r="428" spans="1:29" ht="15.75" customHeight="1">
      <c r="A428" s="185"/>
      <c r="B428" s="189"/>
      <c r="C428" s="189"/>
      <c r="D428" s="189"/>
      <c r="E428" s="189"/>
      <c r="F428" s="189"/>
      <c r="G428" s="189"/>
      <c r="H428" s="189"/>
      <c r="I428" s="5"/>
      <c r="J428" s="6"/>
      <c r="K428" s="5"/>
      <c r="L428" s="189"/>
      <c r="M428" s="189"/>
      <c r="N428" s="189"/>
      <c r="O428" s="190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  <c r="AA428" s="185"/>
      <c r="AB428" s="185"/>
      <c r="AC428" s="185"/>
    </row>
    <row r="429" spans="1:29" ht="15.75" customHeight="1">
      <c r="A429" s="185"/>
      <c r="B429" s="189"/>
      <c r="C429" s="189"/>
      <c r="D429" s="189"/>
      <c r="E429" s="189"/>
      <c r="F429" s="189"/>
      <c r="G429" s="189"/>
      <c r="H429" s="189"/>
      <c r="I429" s="5"/>
      <c r="J429" s="6"/>
      <c r="K429" s="5"/>
      <c r="L429" s="189"/>
      <c r="M429" s="189"/>
      <c r="N429" s="189"/>
      <c r="O429" s="190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  <c r="AA429" s="185"/>
      <c r="AB429" s="185"/>
      <c r="AC429" s="185"/>
    </row>
    <row r="430" spans="1:29" ht="15.75" customHeight="1">
      <c r="A430" s="185"/>
      <c r="B430" s="189"/>
      <c r="C430" s="189"/>
      <c r="D430" s="189"/>
      <c r="E430" s="189"/>
      <c r="F430" s="189"/>
      <c r="G430" s="189"/>
      <c r="H430" s="189"/>
      <c r="I430" s="5"/>
      <c r="J430" s="6"/>
      <c r="K430" s="5"/>
      <c r="L430" s="189"/>
      <c r="M430" s="189"/>
      <c r="N430" s="189"/>
      <c r="O430" s="190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  <c r="AA430" s="185"/>
      <c r="AB430" s="185"/>
      <c r="AC430" s="185"/>
    </row>
    <row r="431" spans="1:29" ht="15.75" customHeight="1">
      <c r="A431" s="185"/>
      <c r="B431" s="189"/>
      <c r="C431" s="189"/>
      <c r="D431" s="189"/>
      <c r="E431" s="189"/>
      <c r="F431" s="189"/>
      <c r="G431" s="189"/>
      <c r="H431" s="189"/>
      <c r="I431" s="5"/>
      <c r="J431" s="6"/>
      <c r="K431" s="5"/>
      <c r="L431" s="189"/>
      <c r="M431" s="189"/>
      <c r="N431" s="189"/>
      <c r="O431" s="190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  <c r="AA431" s="185"/>
      <c r="AB431" s="185"/>
      <c r="AC431" s="185"/>
    </row>
    <row r="432" spans="1:29" ht="15.75" customHeight="1">
      <c r="A432" s="185"/>
      <c r="B432" s="189"/>
      <c r="C432" s="189"/>
      <c r="D432" s="189"/>
      <c r="E432" s="189"/>
      <c r="F432" s="189"/>
      <c r="G432" s="189"/>
      <c r="H432" s="189"/>
      <c r="I432" s="5"/>
      <c r="J432" s="6"/>
      <c r="K432" s="5"/>
      <c r="L432" s="189"/>
      <c r="M432" s="189"/>
      <c r="N432" s="189"/>
      <c r="O432" s="190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  <c r="AA432" s="185"/>
      <c r="AB432" s="185"/>
      <c r="AC432" s="185"/>
    </row>
    <row r="433" spans="1:29" ht="15.75" customHeight="1">
      <c r="A433" s="185"/>
      <c r="B433" s="189"/>
      <c r="C433" s="189"/>
      <c r="D433" s="189"/>
      <c r="E433" s="189"/>
      <c r="F433" s="189"/>
      <c r="G433" s="189"/>
      <c r="H433" s="189"/>
      <c r="I433" s="5"/>
      <c r="J433" s="6"/>
      <c r="K433" s="5"/>
      <c r="L433" s="189"/>
      <c r="M433" s="189"/>
      <c r="N433" s="189"/>
      <c r="O433" s="190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  <c r="AA433" s="185"/>
      <c r="AB433" s="185"/>
      <c r="AC433" s="185"/>
    </row>
    <row r="434" spans="1:29" ht="15.75" customHeight="1">
      <c r="A434" s="185"/>
      <c r="B434" s="189"/>
      <c r="C434" s="189"/>
      <c r="D434" s="189"/>
      <c r="E434" s="189"/>
      <c r="F434" s="189"/>
      <c r="G434" s="189"/>
      <c r="H434" s="189"/>
      <c r="I434" s="5"/>
      <c r="J434" s="6"/>
      <c r="K434" s="5"/>
      <c r="L434" s="189"/>
      <c r="M434" s="189"/>
      <c r="N434" s="189"/>
      <c r="O434" s="190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  <c r="AA434" s="185"/>
      <c r="AB434" s="185"/>
      <c r="AC434" s="185"/>
    </row>
    <row r="435" spans="1:29" ht="15.75" customHeight="1">
      <c r="A435" s="185"/>
      <c r="B435" s="189"/>
      <c r="C435" s="189"/>
      <c r="D435" s="189"/>
      <c r="E435" s="189"/>
      <c r="F435" s="189"/>
      <c r="G435" s="189"/>
      <c r="H435" s="189"/>
      <c r="I435" s="5"/>
      <c r="J435" s="6"/>
      <c r="K435" s="5"/>
      <c r="L435" s="189"/>
      <c r="M435" s="189"/>
      <c r="N435" s="189"/>
      <c r="O435" s="190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  <c r="AA435" s="185"/>
      <c r="AB435" s="185"/>
      <c r="AC435" s="185"/>
    </row>
    <row r="436" spans="1:29" ht="15.75" customHeight="1">
      <c r="A436" s="185"/>
      <c r="B436" s="189"/>
      <c r="C436" s="189"/>
      <c r="D436" s="189"/>
      <c r="E436" s="189"/>
      <c r="F436" s="189"/>
      <c r="G436" s="189"/>
      <c r="H436" s="189"/>
      <c r="I436" s="5"/>
      <c r="J436" s="6"/>
      <c r="K436" s="5"/>
      <c r="L436" s="189"/>
      <c r="M436" s="189"/>
      <c r="N436" s="189"/>
      <c r="O436" s="190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  <c r="AA436" s="185"/>
      <c r="AB436" s="185"/>
      <c r="AC436" s="185"/>
    </row>
    <row r="437" spans="1:29" ht="15.75" customHeight="1">
      <c r="A437" s="185"/>
      <c r="B437" s="189"/>
      <c r="C437" s="189"/>
      <c r="D437" s="189"/>
      <c r="E437" s="189"/>
      <c r="F437" s="189"/>
      <c r="G437" s="189"/>
      <c r="H437" s="189"/>
      <c r="I437" s="5"/>
      <c r="J437" s="6"/>
      <c r="K437" s="5"/>
      <c r="L437" s="189"/>
      <c r="M437" s="189"/>
      <c r="N437" s="189"/>
      <c r="O437" s="190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  <c r="AA437" s="185"/>
      <c r="AB437" s="185"/>
      <c r="AC437" s="185"/>
    </row>
    <row r="438" spans="1:29" ht="15.75" customHeight="1">
      <c r="A438" s="185"/>
      <c r="B438" s="189"/>
      <c r="C438" s="189"/>
      <c r="D438" s="189"/>
      <c r="E438" s="189"/>
      <c r="F438" s="189"/>
      <c r="G438" s="189"/>
      <c r="H438" s="189"/>
      <c r="I438" s="5"/>
      <c r="J438" s="6"/>
      <c r="K438" s="5"/>
      <c r="L438" s="189"/>
      <c r="M438" s="189"/>
      <c r="N438" s="189"/>
      <c r="O438" s="190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  <c r="AA438" s="185"/>
      <c r="AB438" s="185"/>
      <c r="AC438" s="185"/>
    </row>
    <row r="439" spans="1:29" ht="15.75" customHeight="1">
      <c r="A439" s="185"/>
      <c r="B439" s="189"/>
      <c r="C439" s="189"/>
      <c r="D439" s="189"/>
      <c r="E439" s="189"/>
      <c r="F439" s="189"/>
      <c r="G439" s="189"/>
      <c r="H439" s="189"/>
      <c r="I439" s="5"/>
      <c r="J439" s="6"/>
      <c r="K439" s="5"/>
      <c r="L439" s="189"/>
      <c r="M439" s="189"/>
      <c r="N439" s="189"/>
      <c r="O439" s="190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  <c r="AA439" s="185"/>
      <c r="AB439" s="185"/>
      <c r="AC439" s="185"/>
    </row>
    <row r="440" spans="1:29" ht="15.75" customHeight="1">
      <c r="A440" s="185"/>
      <c r="B440" s="189"/>
      <c r="C440" s="189"/>
      <c r="D440" s="189"/>
      <c r="E440" s="189"/>
      <c r="F440" s="189"/>
      <c r="G440" s="189"/>
      <c r="H440" s="189"/>
      <c r="I440" s="5"/>
      <c r="J440" s="6"/>
      <c r="K440" s="5"/>
      <c r="L440" s="189"/>
      <c r="M440" s="189"/>
      <c r="N440" s="189"/>
      <c r="O440" s="190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  <c r="AA440" s="185"/>
      <c r="AB440" s="185"/>
      <c r="AC440" s="185"/>
    </row>
    <row r="441" spans="1:29" ht="15.75" customHeight="1">
      <c r="A441" s="185"/>
      <c r="B441" s="189"/>
      <c r="C441" s="189"/>
      <c r="D441" s="189"/>
      <c r="E441" s="189"/>
      <c r="F441" s="189"/>
      <c r="G441" s="189"/>
      <c r="H441" s="189"/>
      <c r="I441" s="5"/>
      <c r="J441" s="6"/>
      <c r="K441" s="5"/>
      <c r="L441" s="189"/>
      <c r="M441" s="189"/>
      <c r="N441" s="189"/>
      <c r="O441" s="190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  <c r="AA441" s="185"/>
      <c r="AB441" s="185"/>
      <c r="AC441" s="185"/>
    </row>
    <row r="442" spans="1:29" ht="15.75" customHeight="1">
      <c r="A442" s="185"/>
      <c r="B442" s="189"/>
      <c r="C442" s="189"/>
      <c r="D442" s="189"/>
      <c r="E442" s="189"/>
      <c r="F442" s="189"/>
      <c r="G442" s="189"/>
      <c r="H442" s="189"/>
      <c r="I442" s="5"/>
      <c r="J442" s="6"/>
      <c r="K442" s="5"/>
      <c r="L442" s="189"/>
      <c r="M442" s="189"/>
      <c r="N442" s="189"/>
      <c r="O442" s="190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  <c r="AA442" s="185"/>
      <c r="AB442" s="185"/>
      <c r="AC442" s="185"/>
    </row>
    <row r="443" spans="1:29" ht="15.75" customHeight="1">
      <c r="A443" s="185"/>
      <c r="B443" s="189"/>
      <c r="C443" s="189"/>
      <c r="D443" s="189"/>
      <c r="E443" s="189"/>
      <c r="F443" s="189"/>
      <c r="G443" s="189"/>
      <c r="H443" s="189"/>
      <c r="I443" s="5"/>
      <c r="J443" s="6"/>
      <c r="K443" s="5"/>
      <c r="L443" s="189"/>
      <c r="M443" s="189"/>
      <c r="N443" s="189"/>
      <c r="O443" s="190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  <c r="AA443" s="185"/>
      <c r="AB443" s="185"/>
      <c r="AC443" s="185"/>
    </row>
    <row r="444" spans="1:29" ht="15.75" customHeight="1">
      <c r="A444" s="185"/>
      <c r="B444" s="189"/>
      <c r="C444" s="189"/>
      <c r="D444" s="189"/>
      <c r="E444" s="189"/>
      <c r="F444" s="189"/>
      <c r="G444" s="189"/>
      <c r="H444" s="189"/>
      <c r="I444" s="5"/>
      <c r="J444" s="6"/>
      <c r="K444" s="5"/>
      <c r="L444" s="189"/>
      <c r="M444" s="189"/>
      <c r="N444" s="189"/>
      <c r="O444" s="190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  <c r="AA444" s="185"/>
      <c r="AB444" s="185"/>
      <c r="AC444" s="185"/>
    </row>
    <row r="445" spans="1:29" ht="15.75" customHeight="1">
      <c r="A445" s="185"/>
      <c r="B445" s="189"/>
      <c r="C445" s="189"/>
      <c r="D445" s="189"/>
      <c r="E445" s="189"/>
      <c r="F445" s="189"/>
      <c r="G445" s="189"/>
      <c r="H445" s="189"/>
      <c r="I445" s="5"/>
      <c r="J445" s="6"/>
      <c r="K445" s="5"/>
      <c r="L445" s="189"/>
      <c r="M445" s="189"/>
      <c r="N445" s="189"/>
      <c r="O445" s="190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  <c r="AA445" s="185"/>
      <c r="AB445" s="185"/>
      <c r="AC445" s="185"/>
    </row>
    <row r="446" spans="1:29" ht="15.75" customHeight="1">
      <c r="A446" s="185"/>
      <c r="B446" s="189"/>
      <c r="C446" s="189"/>
      <c r="D446" s="189"/>
      <c r="E446" s="189"/>
      <c r="F446" s="189"/>
      <c r="G446" s="189"/>
      <c r="H446" s="189"/>
      <c r="I446" s="5"/>
      <c r="J446" s="6"/>
      <c r="K446" s="5"/>
      <c r="L446" s="189"/>
      <c r="M446" s="189"/>
      <c r="N446" s="189"/>
      <c r="O446" s="190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  <c r="AA446" s="185"/>
      <c r="AB446" s="185"/>
      <c r="AC446" s="185"/>
    </row>
    <row r="447" spans="1:29" ht="15.75" customHeight="1">
      <c r="A447" s="185"/>
      <c r="B447" s="189"/>
      <c r="C447" s="189"/>
      <c r="D447" s="189"/>
      <c r="E447" s="189"/>
      <c r="F447" s="189"/>
      <c r="G447" s="189"/>
      <c r="H447" s="189"/>
      <c r="I447" s="5"/>
      <c r="J447" s="6"/>
      <c r="K447" s="5"/>
      <c r="L447" s="189"/>
      <c r="M447" s="189"/>
      <c r="N447" s="189"/>
      <c r="O447" s="190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  <c r="AA447" s="185"/>
      <c r="AB447" s="185"/>
      <c r="AC447" s="185"/>
    </row>
    <row r="448" spans="1:29" ht="15.75" customHeight="1">
      <c r="A448" s="185"/>
      <c r="B448" s="189"/>
      <c r="C448" s="189"/>
      <c r="D448" s="189"/>
      <c r="E448" s="189"/>
      <c r="F448" s="189"/>
      <c r="G448" s="189"/>
      <c r="H448" s="189"/>
      <c r="I448" s="5"/>
      <c r="J448" s="6"/>
      <c r="K448" s="5"/>
      <c r="L448" s="189"/>
      <c r="M448" s="189"/>
      <c r="N448" s="189"/>
      <c r="O448" s="190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  <c r="AA448" s="185"/>
      <c r="AB448" s="185"/>
      <c r="AC448" s="185"/>
    </row>
    <row r="449" spans="1:29" ht="15.75" customHeight="1">
      <c r="A449" s="185"/>
      <c r="B449" s="189"/>
      <c r="C449" s="189"/>
      <c r="D449" s="189"/>
      <c r="E449" s="189"/>
      <c r="F449" s="189"/>
      <c r="G449" s="189"/>
      <c r="H449" s="189"/>
      <c r="I449" s="5"/>
      <c r="J449" s="6"/>
      <c r="K449" s="5"/>
      <c r="L449" s="189"/>
      <c r="M449" s="189"/>
      <c r="N449" s="189"/>
      <c r="O449" s="190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  <c r="AA449" s="185"/>
      <c r="AB449" s="185"/>
      <c r="AC449" s="185"/>
    </row>
    <row r="450" spans="1:29" ht="15.75" customHeight="1">
      <c r="A450" s="185"/>
      <c r="B450" s="189"/>
      <c r="C450" s="189"/>
      <c r="D450" s="189"/>
      <c r="E450" s="189"/>
      <c r="F450" s="189"/>
      <c r="G450" s="189"/>
      <c r="H450" s="189"/>
      <c r="I450" s="5"/>
      <c r="J450" s="6"/>
      <c r="K450" s="5"/>
      <c r="L450" s="189"/>
      <c r="M450" s="189"/>
      <c r="N450" s="189"/>
      <c r="O450" s="190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  <c r="AA450" s="185"/>
      <c r="AB450" s="185"/>
      <c r="AC450" s="185"/>
    </row>
    <row r="451" spans="1:29" ht="15.75" customHeight="1">
      <c r="A451" s="185"/>
      <c r="B451" s="189"/>
      <c r="C451" s="189"/>
      <c r="D451" s="189"/>
      <c r="E451" s="189"/>
      <c r="F451" s="189"/>
      <c r="G451" s="189"/>
      <c r="H451" s="189"/>
      <c r="I451" s="5"/>
      <c r="J451" s="6"/>
      <c r="K451" s="5"/>
      <c r="L451" s="189"/>
      <c r="M451" s="189"/>
      <c r="N451" s="189"/>
      <c r="O451" s="190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  <c r="AA451" s="185"/>
      <c r="AB451" s="185"/>
      <c r="AC451" s="185"/>
    </row>
    <row r="452" spans="1:29" ht="15.75" customHeight="1">
      <c r="A452" s="185"/>
      <c r="B452" s="189"/>
      <c r="C452" s="189"/>
      <c r="D452" s="189"/>
      <c r="E452" s="189"/>
      <c r="F452" s="189"/>
      <c r="G452" s="189"/>
      <c r="H452" s="189"/>
      <c r="I452" s="5"/>
      <c r="J452" s="6"/>
      <c r="K452" s="5"/>
      <c r="L452" s="189"/>
      <c r="M452" s="189"/>
      <c r="N452" s="189"/>
      <c r="O452" s="190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  <c r="AA452" s="185"/>
      <c r="AB452" s="185"/>
      <c r="AC452" s="185"/>
    </row>
    <row r="453" spans="1:29" ht="15.75" customHeight="1">
      <c r="A453" s="185"/>
      <c r="B453" s="189"/>
      <c r="C453" s="189"/>
      <c r="D453" s="189"/>
      <c r="E453" s="189"/>
      <c r="F453" s="189"/>
      <c r="G453" s="189"/>
      <c r="H453" s="189"/>
      <c r="I453" s="5"/>
      <c r="J453" s="6"/>
      <c r="K453" s="5"/>
      <c r="L453" s="189"/>
      <c r="M453" s="189"/>
      <c r="N453" s="189"/>
      <c r="O453" s="190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  <c r="AA453" s="185"/>
      <c r="AB453" s="185"/>
      <c r="AC453" s="185"/>
    </row>
    <row r="454" spans="1:29" ht="15.75" customHeight="1">
      <c r="A454" s="185"/>
      <c r="B454" s="189"/>
      <c r="C454" s="189"/>
      <c r="D454" s="189"/>
      <c r="E454" s="189"/>
      <c r="F454" s="189"/>
      <c r="G454" s="189"/>
      <c r="H454" s="189"/>
      <c r="I454" s="5"/>
      <c r="J454" s="6"/>
      <c r="K454" s="5"/>
      <c r="L454" s="189"/>
      <c r="M454" s="189"/>
      <c r="N454" s="189"/>
      <c r="O454" s="190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  <c r="AA454" s="185"/>
      <c r="AB454" s="185"/>
      <c r="AC454" s="185"/>
    </row>
    <row r="455" spans="1:29" ht="15.75" customHeight="1">
      <c r="A455" s="185"/>
      <c r="B455" s="189"/>
      <c r="C455" s="189"/>
      <c r="D455" s="189"/>
      <c r="E455" s="189"/>
      <c r="F455" s="189"/>
      <c r="G455" s="189"/>
      <c r="H455" s="189"/>
      <c r="I455" s="5"/>
      <c r="J455" s="6"/>
      <c r="K455" s="5"/>
      <c r="L455" s="189"/>
      <c r="M455" s="189"/>
      <c r="N455" s="189"/>
      <c r="O455" s="190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  <c r="AA455" s="185"/>
      <c r="AB455" s="185"/>
      <c r="AC455" s="185"/>
    </row>
    <row r="456" spans="1:29" ht="15.75" customHeight="1">
      <c r="A456" s="185"/>
      <c r="B456" s="189"/>
      <c r="C456" s="189"/>
      <c r="D456" s="189"/>
      <c r="E456" s="189"/>
      <c r="F456" s="189"/>
      <c r="G456" s="189"/>
      <c r="H456" s="189"/>
      <c r="I456" s="5"/>
      <c r="J456" s="6"/>
      <c r="K456" s="5"/>
      <c r="L456" s="189"/>
      <c r="M456" s="189"/>
      <c r="N456" s="189"/>
      <c r="O456" s="190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  <c r="AA456" s="185"/>
      <c r="AB456" s="185"/>
      <c r="AC456" s="185"/>
    </row>
    <row r="457" spans="1:29" ht="15.75" customHeight="1">
      <c r="A457" s="185"/>
      <c r="B457" s="189"/>
      <c r="C457" s="189"/>
      <c r="D457" s="189"/>
      <c r="E457" s="189"/>
      <c r="F457" s="189"/>
      <c r="G457" s="189"/>
      <c r="H457" s="189"/>
      <c r="I457" s="5"/>
      <c r="J457" s="6"/>
      <c r="K457" s="5"/>
      <c r="L457" s="189"/>
      <c r="M457" s="189"/>
      <c r="N457" s="189"/>
      <c r="O457" s="190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  <c r="AA457" s="185"/>
      <c r="AB457" s="185"/>
      <c r="AC457" s="185"/>
    </row>
    <row r="458" spans="1:29" ht="15.75" customHeight="1">
      <c r="A458" s="185"/>
      <c r="B458" s="189"/>
      <c r="C458" s="189"/>
      <c r="D458" s="189"/>
      <c r="E458" s="189"/>
      <c r="F458" s="189"/>
      <c r="G458" s="189"/>
      <c r="H458" s="189"/>
      <c r="I458" s="5"/>
      <c r="J458" s="6"/>
      <c r="K458" s="5"/>
      <c r="L458" s="189"/>
      <c r="M458" s="189"/>
      <c r="N458" s="189"/>
      <c r="O458" s="190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  <c r="AA458" s="185"/>
      <c r="AB458" s="185"/>
      <c r="AC458" s="185"/>
    </row>
    <row r="459" spans="1:29" ht="15.75" customHeight="1">
      <c r="A459" s="185"/>
      <c r="B459" s="189"/>
      <c r="C459" s="189"/>
      <c r="D459" s="189"/>
      <c r="E459" s="189"/>
      <c r="F459" s="189"/>
      <c r="G459" s="189"/>
      <c r="H459" s="189"/>
      <c r="I459" s="5"/>
      <c r="J459" s="6"/>
      <c r="K459" s="5"/>
      <c r="L459" s="189"/>
      <c r="M459" s="189"/>
      <c r="N459" s="189"/>
      <c r="O459" s="190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  <c r="AA459" s="185"/>
      <c r="AB459" s="185"/>
      <c r="AC459" s="185"/>
    </row>
    <row r="460" spans="1:29" ht="15.75" customHeight="1">
      <c r="A460" s="185"/>
      <c r="B460" s="189"/>
      <c r="C460" s="189"/>
      <c r="D460" s="189"/>
      <c r="E460" s="189"/>
      <c r="F460" s="189"/>
      <c r="G460" s="189"/>
      <c r="H460" s="189"/>
      <c r="I460" s="5"/>
      <c r="J460" s="6"/>
      <c r="K460" s="5"/>
      <c r="L460" s="189"/>
      <c r="M460" s="189"/>
      <c r="N460" s="189"/>
      <c r="O460" s="190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  <c r="AA460" s="185"/>
      <c r="AB460" s="185"/>
      <c r="AC460" s="185"/>
    </row>
    <row r="461" spans="1:29" ht="15.75" customHeight="1">
      <c r="A461" s="185"/>
      <c r="B461" s="189"/>
      <c r="C461" s="189"/>
      <c r="D461" s="189"/>
      <c r="E461" s="189"/>
      <c r="F461" s="189"/>
      <c r="G461" s="189"/>
      <c r="H461" s="189"/>
      <c r="I461" s="5"/>
      <c r="J461" s="6"/>
      <c r="K461" s="5"/>
      <c r="L461" s="189"/>
      <c r="M461" s="189"/>
      <c r="N461" s="189"/>
      <c r="O461" s="190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  <c r="AA461" s="185"/>
      <c r="AB461" s="185"/>
      <c r="AC461" s="185"/>
    </row>
    <row r="462" spans="1:29" ht="15.75" customHeight="1">
      <c r="A462" s="185"/>
      <c r="B462" s="189"/>
      <c r="C462" s="189"/>
      <c r="D462" s="189"/>
      <c r="E462" s="189"/>
      <c r="F462" s="189"/>
      <c r="G462" s="189"/>
      <c r="H462" s="189"/>
      <c r="I462" s="5"/>
      <c r="J462" s="6"/>
      <c r="K462" s="5"/>
      <c r="L462" s="189"/>
      <c r="M462" s="189"/>
      <c r="N462" s="189"/>
      <c r="O462" s="190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  <c r="AA462" s="185"/>
      <c r="AB462" s="185"/>
      <c r="AC462" s="185"/>
    </row>
    <row r="463" spans="1:29" ht="15.75" customHeight="1">
      <c r="A463" s="185"/>
      <c r="B463" s="189"/>
      <c r="C463" s="189"/>
      <c r="D463" s="189"/>
      <c r="E463" s="189"/>
      <c r="F463" s="189"/>
      <c r="G463" s="189"/>
      <c r="H463" s="189"/>
      <c r="I463" s="5"/>
      <c r="J463" s="6"/>
      <c r="K463" s="5"/>
      <c r="L463" s="189"/>
      <c r="M463" s="189"/>
      <c r="N463" s="189"/>
      <c r="O463" s="190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  <c r="AA463" s="185"/>
      <c r="AB463" s="185"/>
      <c r="AC463" s="185"/>
    </row>
    <row r="464" spans="1:29" ht="15.75" customHeight="1">
      <c r="A464" s="185"/>
      <c r="B464" s="189"/>
      <c r="C464" s="189"/>
      <c r="D464" s="189"/>
      <c r="E464" s="189"/>
      <c r="F464" s="189"/>
      <c r="G464" s="189"/>
      <c r="H464" s="189"/>
      <c r="I464" s="5"/>
      <c r="J464" s="6"/>
      <c r="K464" s="5"/>
      <c r="L464" s="189"/>
      <c r="M464" s="189"/>
      <c r="N464" s="189"/>
      <c r="O464" s="190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  <c r="AA464" s="185"/>
      <c r="AB464" s="185"/>
      <c r="AC464" s="185"/>
    </row>
    <row r="465" spans="1:29" ht="15.75" customHeight="1">
      <c r="A465" s="185"/>
      <c r="B465" s="189"/>
      <c r="C465" s="189"/>
      <c r="D465" s="189"/>
      <c r="E465" s="189"/>
      <c r="F465" s="189"/>
      <c r="G465" s="189"/>
      <c r="H465" s="189"/>
      <c r="I465" s="5"/>
      <c r="J465" s="6"/>
      <c r="K465" s="5"/>
      <c r="L465" s="189"/>
      <c r="M465" s="189"/>
      <c r="N465" s="189"/>
      <c r="O465" s="190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  <c r="AA465" s="185"/>
      <c r="AB465" s="185"/>
      <c r="AC465" s="185"/>
    </row>
    <row r="466" spans="1:29" ht="15.75" customHeight="1">
      <c r="A466" s="185"/>
      <c r="B466" s="189"/>
      <c r="C466" s="189"/>
      <c r="D466" s="189"/>
      <c r="E466" s="189"/>
      <c r="F466" s="189"/>
      <c r="G466" s="189"/>
      <c r="H466" s="189"/>
      <c r="I466" s="5"/>
      <c r="J466" s="6"/>
      <c r="K466" s="5"/>
      <c r="L466" s="189"/>
      <c r="M466" s="189"/>
      <c r="N466" s="189"/>
      <c r="O466" s="190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  <c r="AA466" s="185"/>
      <c r="AB466" s="185"/>
      <c r="AC466" s="185"/>
    </row>
    <row r="467" spans="1:29" ht="15.75" customHeight="1">
      <c r="A467" s="185"/>
      <c r="B467" s="189"/>
      <c r="C467" s="189"/>
      <c r="D467" s="189"/>
      <c r="E467" s="189"/>
      <c r="F467" s="189"/>
      <c r="G467" s="189"/>
      <c r="H467" s="189"/>
      <c r="I467" s="5"/>
      <c r="J467" s="6"/>
      <c r="K467" s="5"/>
      <c r="L467" s="189"/>
      <c r="M467" s="189"/>
      <c r="N467" s="189"/>
      <c r="O467" s="190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  <c r="AA467" s="185"/>
      <c r="AB467" s="185"/>
      <c r="AC467" s="185"/>
    </row>
    <row r="468" spans="1:29" ht="15.75" customHeight="1">
      <c r="A468" s="185"/>
      <c r="B468" s="189"/>
      <c r="C468" s="189"/>
      <c r="D468" s="189"/>
      <c r="E468" s="189"/>
      <c r="F468" s="189"/>
      <c r="G468" s="189"/>
      <c r="H468" s="189"/>
      <c r="I468" s="5"/>
      <c r="J468" s="6"/>
      <c r="K468" s="5"/>
      <c r="L468" s="189"/>
      <c r="M468" s="189"/>
      <c r="N468" s="189"/>
      <c r="O468" s="190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  <c r="AA468" s="185"/>
      <c r="AB468" s="185"/>
      <c r="AC468" s="185"/>
    </row>
    <row r="469" spans="1:29" ht="15.75" customHeight="1">
      <c r="A469" s="185"/>
      <c r="B469" s="189"/>
      <c r="C469" s="189"/>
      <c r="D469" s="189"/>
      <c r="E469" s="189"/>
      <c r="F469" s="189"/>
      <c r="G469" s="189"/>
      <c r="H469" s="189"/>
      <c r="I469" s="5"/>
      <c r="J469" s="6"/>
      <c r="K469" s="5"/>
      <c r="L469" s="189"/>
      <c r="M469" s="189"/>
      <c r="N469" s="189"/>
      <c r="O469" s="190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  <c r="AA469" s="185"/>
      <c r="AB469" s="185"/>
      <c r="AC469" s="185"/>
    </row>
    <row r="470" spans="1:29" ht="15.75" customHeight="1">
      <c r="A470" s="185"/>
      <c r="B470" s="189"/>
      <c r="C470" s="189"/>
      <c r="D470" s="189"/>
      <c r="E470" s="189"/>
      <c r="F470" s="189"/>
      <c r="G470" s="189"/>
      <c r="H470" s="189"/>
      <c r="I470" s="5"/>
      <c r="J470" s="6"/>
      <c r="K470" s="5"/>
      <c r="L470" s="189"/>
      <c r="M470" s="189"/>
      <c r="N470" s="189"/>
      <c r="O470" s="190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  <c r="AA470" s="185"/>
      <c r="AB470" s="185"/>
      <c r="AC470" s="185"/>
    </row>
    <row r="471" spans="1:29" ht="15.75" customHeight="1">
      <c r="A471" s="185"/>
      <c r="B471" s="189"/>
      <c r="C471" s="189"/>
      <c r="D471" s="189"/>
      <c r="E471" s="189"/>
      <c r="F471" s="189"/>
      <c r="G471" s="189"/>
      <c r="H471" s="189"/>
      <c r="I471" s="5"/>
      <c r="J471" s="6"/>
      <c r="K471" s="5"/>
      <c r="L471" s="189"/>
      <c r="M471" s="189"/>
      <c r="N471" s="189"/>
      <c r="O471" s="190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  <c r="AA471" s="185"/>
      <c r="AB471" s="185"/>
      <c r="AC471" s="185"/>
    </row>
    <row r="472" spans="1:29" ht="15.75" customHeight="1">
      <c r="A472" s="185"/>
      <c r="B472" s="189"/>
      <c r="C472" s="189"/>
      <c r="D472" s="189"/>
      <c r="E472" s="189"/>
      <c r="F472" s="189"/>
      <c r="G472" s="189"/>
      <c r="H472" s="189"/>
      <c r="I472" s="5"/>
      <c r="J472" s="6"/>
      <c r="K472" s="5"/>
      <c r="L472" s="189"/>
      <c r="M472" s="189"/>
      <c r="N472" s="189"/>
      <c r="O472" s="190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  <c r="AA472" s="185"/>
      <c r="AB472" s="185"/>
      <c r="AC472" s="185"/>
    </row>
    <row r="473" spans="1:29" ht="15.75" customHeight="1">
      <c r="A473" s="185"/>
      <c r="B473" s="189"/>
      <c r="C473" s="189"/>
      <c r="D473" s="189"/>
      <c r="E473" s="189"/>
      <c r="F473" s="189"/>
      <c r="G473" s="189"/>
      <c r="H473" s="189"/>
      <c r="I473" s="5"/>
      <c r="J473" s="6"/>
      <c r="K473" s="5"/>
      <c r="L473" s="189"/>
      <c r="M473" s="189"/>
      <c r="N473" s="189"/>
      <c r="O473" s="190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  <c r="AA473" s="185"/>
      <c r="AB473" s="185"/>
      <c r="AC473" s="185"/>
    </row>
    <row r="474" spans="1:29" ht="15.75" customHeight="1">
      <c r="A474" s="185"/>
      <c r="B474" s="189"/>
      <c r="C474" s="189"/>
      <c r="D474" s="189"/>
      <c r="E474" s="189"/>
      <c r="F474" s="189"/>
      <c r="G474" s="189"/>
      <c r="H474" s="189"/>
      <c r="I474" s="5"/>
      <c r="J474" s="6"/>
      <c r="K474" s="5"/>
      <c r="L474" s="189"/>
      <c r="M474" s="189"/>
      <c r="N474" s="189"/>
      <c r="O474" s="190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  <c r="AA474" s="185"/>
      <c r="AB474" s="185"/>
      <c r="AC474" s="185"/>
    </row>
    <row r="475" spans="1:29" ht="15.75" customHeight="1">
      <c r="A475" s="185"/>
      <c r="B475" s="189"/>
      <c r="C475" s="189"/>
      <c r="D475" s="189"/>
      <c r="E475" s="189"/>
      <c r="F475" s="189"/>
      <c r="G475" s="189"/>
      <c r="H475" s="189"/>
      <c r="I475" s="5"/>
      <c r="J475" s="6"/>
      <c r="K475" s="5"/>
      <c r="L475" s="189"/>
      <c r="M475" s="189"/>
      <c r="N475" s="189"/>
      <c r="O475" s="190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  <c r="AA475" s="185"/>
      <c r="AB475" s="185"/>
      <c r="AC475" s="185"/>
    </row>
    <row r="476" spans="1:29" ht="15.75" customHeight="1">
      <c r="A476" s="185"/>
      <c r="B476" s="189"/>
      <c r="C476" s="189"/>
      <c r="D476" s="189"/>
      <c r="E476" s="189"/>
      <c r="F476" s="189"/>
      <c r="G476" s="189"/>
      <c r="H476" s="189"/>
      <c r="I476" s="5"/>
      <c r="J476" s="6"/>
      <c r="K476" s="5"/>
      <c r="L476" s="189"/>
      <c r="M476" s="189"/>
      <c r="N476" s="189"/>
      <c r="O476" s="190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  <c r="AA476" s="185"/>
      <c r="AB476" s="185"/>
      <c r="AC476" s="185"/>
    </row>
    <row r="477" spans="1:29" ht="15.75" customHeight="1">
      <c r="A477" s="185"/>
      <c r="B477" s="189"/>
      <c r="C477" s="189"/>
      <c r="D477" s="189"/>
      <c r="E477" s="189"/>
      <c r="F477" s="189"/>
      <c r="G477" s="189"/>
      <c r="H477" s="189"/>
      <c r="I477" s="5"/>
      <c r="J477" s="6"/>
      <c r="K477" s="5"/>
      <c r="L477" s="189"/>
      <c r="M477" s="189"/>
      <c r="N477" s="189"/>
      <c r="O477" s="190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  <c r="AA477" s="185"/>
      <c r="AB477" s="185"/>
      <c r="AC477" s="185"/>
    </row>
    <row r="478" spans="1:29" ht="15.75" customHeight="1">
      <c r="A478" s="185"/>
      <c r="B478" s="189"/>
      <c r="C478" s="189"/>
      <c r="D478" s="189"/>
      <c r="E478" s="189"/>
      <c r="F478" s="189"/>
      <c r="G478" s="189"/>
      <c r="H478" s="189"/>
      <c r="I478" s="5"/>
      <c r="J478" s="6"/>
      <c r="K478" s="5"/>
      <c r="L478" s="189"/>
      <c r="M478" s="189"/>
      <c r="N478" s="189"/>
      <c r="O478" s="190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  <c r="AA478" s="185"/>
      <c r="AB478" s="185"/>
      <c r="AC478" s="185"/>
    </row>
    <row r="479" spans="1:29" ht="15.75" customHeight="1">
      <c r="A479" s="185"/>
      <c r="B479" s="189"/>
      <c r="C479" s="189"/>
      <c r="D479" s="189"/>
      <c r="E479" s="189"/>
      <c r="F479" s="189"/>
      <c r="G479" s="189"/>
      <c r="H479" s="189"/>
      <c r="I479" s="5"/>
      <c r="J479" s="6"/>
      <c r="K479" s="5"/>
      <c r="L479" s="189"/>
      <c r="M479" s="189"/>
      <c r="N479" s="189"/>
      <c r="O479" s="190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  <c r="AA479" s="185"/>
      <c r="AB479" s="185"/>
      <c r="AC479" s="185"/>
    </row>
    <row r="480" spans="1:29" ht="15.75" customHeight="1">
      <c r="A480" s="185"/>
      <c r="B480" s="189"/>
      <c r="C480" s="189"/>
      <c r="D480" s="189"/>
      <c r="E480" s="189"/>
      <c r="F480" s="189"/>
      <c r="G480" s="189"/>
      <c r="H480" s="189"/>
      <c r="I480" s="5"/>
      <c r="J480" s="6"/>
      <c r="K480" s="5"/>
      <c r="L480" s="189"/>
      <c r="M480" s="189"/>
      <c r="N480" s="189"/>
      <c r="O480" s="190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  <c r="AA480" s="185"/>
      <c r="AB480" s="185"/>
      <c r="AC480" s="185"/>
    </row>
    <row r="481" spans="1:29" ht="15.75" customHeight="1">
      <c r="A481" s="185"/>
      <c r="B481" s="189"/>
      <c r="C481" s="189"/>
      <c r="D481" s="189"/>
      <c r="E481" s="189"/>
      <c r="F481" s="189"/>
      <c r="G481" s="189"/>
      <c r="H481" s="189"/>
      <c r="I481" s="5"/>
      <c r="J481" s="6"/>
      <c r="K481" s="5"/>
      <c r="L481" s="189"/>
      <c r="M481" s="189"/>
      <c r="N481" s="189"/>
      <c r="O481" s="190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  <c r="AA481" s="185"/>
      <c r="AB481" s="185"/>
      <c r="AC481" s="185"/>
    </row>
    <row r="482" spans="1:29" ht="15.75" customHeight="1">
      <c r="A482" s="185"/>
      <c r="B482" s="189"/>
      <c r="C482" s="189"/>
      <c r="D482" s="189"/>
      <c r="E482" s="189"/>
      <c r="F482" s="189"/>
      <c r="G482" s="189"/>
      <c r="H482" s="189"/>
      <c r="I482" s="5"/>
      <c r="J482" s="6"/>
      <c r="K482" s="5"/>
      <c r="L482" s="189"/>
      <c r="M482" s="189"/>
      <c r="N482" s="189"/>
      <c r="O482" s="190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  <c r="AA482" s="185"/>
      <c r="AB482" s="185"/>
      <c r="AC482" s="185"/>
    </row>
    <row r="483" spans="1:29" ht="15.75" customHeight="1">
      <c r="A483" s="185"/>
      <c r="B483" s="189"/>
      <c r="C483" s="189"/>
      <c r="D483" s="189"/>
      <c r="E483" s="189"/>
      <c r="F483" s="189"/>
      <c r="G483" s="189"/>
      <c r="H483" s="189"/>
      <c r="I483" s="5"/>
      <c r="J483" s="6"/>
      <c r="K483" s="5"/>
      <c r="L483" s="189"/>
      <c r="M483" s="189"/>
      <c r="N483" s="189"/>
      <c r="O483" s="190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  <c r="AA483" s="185"/>
      <c r="AB483" s="185"/>
      <c r="AC483" s="185"/>
    </row>
    <row r="484" spans="1:29" ht="15.75" customHeight="1">
      <c r="A484" s="185"/>
      <c r="B484" s="189"/>
      <c r="C484" s="189"/>
      <c r="D484" s="189"/>
      <c r="E484" s="189"/>
      <c r="F484" s="189"/>
      <c r="G484" s="189"/>
      <c r="H484" s="189"/>
      <c r="I484" s="5"/>
      <c r="J484" s="6"/>
      <c r="K484" s="5"/>
      <c r="L484" s="189"/>
      <c r="M484" s="189"/>
      <c r="N484" s="189"/>
      <c r="O484" s="190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  <c r="AA484" s="185"/>
      <c r="AB484" s="185"/>
      <c r="AC484" s="185"/>
    </row>
    <row r="485" spans="1:29" ht="15.75" customHeight="1">
      <c r="A485" s="185"/>
      <c r="B485" s="189"/>
      <c r="C485" s="189"/>
      <c r="D485" s="189"/>
      <c r="E485" s="189"/>
      <c r="F485" s="189"/>
      <c r="G485" s="189"/>
      <c r="H485" s="189"/>
      <c r="I485" s="5"/>
      <c r="J485" s="6"/>
      <c r="K485" s="5"/>
      <c r="L485" s="189"/>
      <c r="M485" s="189"/>
      <c r="N485" s="189"/>
      <c r="O485" s="190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  <c r="AA485" s="185"/>
      <c r="AB485" s="185"/>
      <c r="AC485" s="185"/>
    </row>
    <row r="486" spans="1:29" ht="15.75" customHeight="1">
      <c r="A486" s="185"/>
      <c r="B486" s="189"/>
      <c r="C486" s="189"/>
      <c r="D486" s="189"/>
      <c r="E486" s="189"/>
      <c r="F486" s="189"/>
      <c r="G486" s="189"/>
      <c r="H486" s="189"/>
      <c r="I486" s="5"/>
      <c r="J486" s="6"/>
      <c r="K486" s="5"/>
      <c r="L486" s="189"/>
      <c r="M486" s="189"/>
      <c r="N486" s="189"/>
      <c r="O486" s="190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  <c r="AA486" s="185"/>
      <c r="AB486" s="185"/>
      <c r="AC486" s="185"/>
    </row>
    <row r="487" spans="1:29" ht="15.75" customHeight="1">
      <c r="A487" s="185"/>
      <c r="B487" s="189"/>
      <c r="C487" s="189"/>
      <c r="D487" s="189"/>
      <c r="E487" s="189"/>
      <c r="F487" s="189"/>
      <c r="G487" s="189"/>
      <c r="H487" s="189"/>
      <c r="I487" s="5"/>
      <c r="J487" s="6"/>
      <c r="K487" s="5"/>
      <c r="L487" s="189"/>
      <c r="M487" s="189"/>
      <c r="N487" s="189"/>
      <c r="O487" s="190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  <c r="AA487" s="185"/>
      <c r="AB487" s="185"/>
      <c r="AC487" s="185"/>
    </row>
    <row r="488" spans="1:29" ht="15.75" customHeight="1">
      <c r="A488" s="185"/>
      <c r="B488" s="189"/>
      <c r="C488" s="189"/>
      <c r="D488" s="189"/>
      <c r="E488" s="189"/>
      <c r="F488" s="189"/>
      <c r="G488" s="189"/>
      <c r="H488" s="189"/>
      <c r="I488" s="5"/>
      <c r="J488" s="6"/>
      <c r="K488" s="5"/>
      <c r="L488" s="189"/>
      <c r="M488" s="189"/>
      <c r="N488" s="189"/>
      <c r="O488" s="190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  <c r="AA488" s="185"/>
      <c r="AB488" s="185"/>
      <c r="AC488" s="185"/>
    </row>
    <row r="489" spans="1:29" ht="15.75" customHeight="1">
      <c r="A489" s="185"/>
      <c r="B489" s="189"/>
      <c r="C489" s="189"/>
      <c r="D489" s="189"/>
      <c r="E489" s="189"/>
      <c r="F489" s="189"/>
      <c r="G489" s="189"/>
      <c r="H489" s="189"/>
      <c r="I489" s="5"/>
      <c r="J489" s="6"/>
      <c r="K489" s="5"/>
      <c r="L489" s="189"/>
      <c r="M489" s="189"/>
      <c r="N489" s="189"/>
      <c r="O489" s="190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  <c r="AA489" s="185"/>
      <c r="AB489" s="185"/>
      <c r="AC489" s="185"/>
    </row>
    <row r="490" spans="1:29" ht="15.75" customHeight="1">
      <c r="A490" s="185"/>
      <c r="B490" s="189"/>
      <c r="C490" s="189"/>
      <c r="D490" s="189"/>
      <c r="E490" s="189"/>
      <c r="F490" s="189"/>
      <c r="G490" s="189"/>
      <c r="H490" s="189"/>
      <c r="I490" s="5"/>
      <c r="J490" s="6"/>
      <c r="K490" s="5"/>
      <c r="L490" s="189"/>
      <c r="M490" s="189"/>
      <c r="N490" s="189"/>
      <c r="O490" s="190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  <c r="AA490" s="185"/>
      <c r="AB490" s="185"/>
      <c r="AC490" s="185"/>
    </row>
    <row r="491" spans="1:29" ht="15.75" customHeight="1">
      <c r="A491" s="185"/>
      <c r="B491" s="189"/>
      <c r="C491" s="189"/>
      <c r="D491" s="189"/>
      <c r="E491" s="189"/>
      <c r="F491" s="189"/>
      <c r="G491" s="189"/>
      <c r="H491" s="189"/>
      <c r="I491" s="5"/>
      <c r="J491" s="6"/>
      <c r="K491" s="5"/>
      <c r="L491" s="189"/>
      <c r="M491" s="189"/>
      <c r="N491" s="189"/>
      <c r="O491" s="190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  <c r="AA491" s="185"/>
      <c r="AB491" s="185"/>
      <c r="AC491" s="185"/>
    </row>
    <row r="492" spans="1:29" ht="15.75" customHeight="1">
      <c r="A492" s="185"/>
      <c r="B492" s="189"/>
      <c r="C492" s="189"/>
      <c r="D492" s="189"/>
      <c r="E492" s="189"/>
      <c r="F492" s="189"/>
      <c r="G492" s="189"/>
      <c r="H492" s="189"/>
      <c r="I492" s="5"/>
      <c r="J492" s="6"/>
      <c r="K492" s="5"/>
      <c r="L492" s="189"/>
      <c r="M492" s="189"/>
      <c r="N492" s="189"/>
      <c r="O492" s="190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  <c r="AA492" s="185"/>
      <c r="AB492" s="185"/>
      <c r="AC492" s="185"/>
    </row>
    <row r="493" spans="1:29" ht="15.75" customHeight="1">
      <c r="A493" s="185"/>
      <c r="B493" s="189"/>
      <c r="C493" s="189"/>
      <c r="D493" s="189"/>
      <c r="E493" s="189"/>
      <c r="F493" s="189"/>
      <c r="G493" s="189"/>
      <c r="H493" s="189"/>
      <c r="I493" s="5"/>
      <c r="J493" s="6"/>
      <c r="K493" s="5"/>
      <c r="L493" s="189"/>
      <c r="M493" s="189"/>
      <c r="N493" s="189"/>
      <c r="O493" s="190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  <c r="AA493" s="185"/>
      <c r="AB493" s="185"/>
      <c r="AC493" s="185"/>
    </row>
    <row r="494" spans="1:29" ht="15.75" customHeight="1">
      <c r="A494" s="185"/>
      <c r="B494" s="189"/>
      <c r="C494" s="189"/>
      <c r="D494" s="189"/>
      <c r="E494" s="189"/>
      <c r="F494" s="189"/>
      <c r="G494" s="189"/>
      <c r="H494" s="189"/>
      <c r="I494" s="5"/>
      <c r="J494" s="6"/>
      <c r="K494" s="5"/>
      <c r="L494" s="189"/>
      <c r="M494" s="189"/>
      <c r="N494" s="189"/>
      <c r="O494" s="190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  <c r="AA494" s="185"/>
      <c r="AB494" s="185"/>
      <c r="AC494" s="185"/>
    </row>
    <row r="495" spans="1:29" ht="15.75" customHeight="1">
      <c r="A495" s="185"/>
      <c r="B495" s="189"/>
      <c r="C495" s="189"/>
      <c r="D495" s="189"/>
      <c r="E495" s="189"/>
      <c r="F495" s="189"/>
      <c r="G495" s="189"/>
      <c r="H495" s="189"/>
      <c r="I495" s="5"/>
      <c r="J495" s="6"/>
      <c r="K495" s="5"/>
      <c r="L495" s="189"/>
      <c r="M495" s="189"/>
      <c r="N495" s="189"/>
      <c r="O495" s="190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  <c r="AA495" s="185"/>
      <c r="AB495" s="185"/>
      <c r="AC495" s="185"/>
    </row>
    <row r="496" spans="1:29" ht="15.75" customHeight="1">
      <c r="A496" s="185"/>
      <c r="B496" s="189"/>
      <c r="C496" s="189"/>
      <c r="D496" s="189"/>
      <c r="E496" s="189"/>
      <c r="F496" s="189"/>
      <c r="G496" s="189"/>
      <c r="H496" s="189"/>
      <c r="I496" s="5"/>
      <c r="J496" s="6"/>
      <c r="K496" s="5"/>
      <c r="L496" s="189"/>
      <c r="M496" s="189"/>
      <c r="N496" s="189"/>
      <c r="O496" s="190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  <c r="AA496" s="185"/>
      <c r="AB496" s="185"/>
      <c r="AC496" s="185"/>
    </row>
    <row r="497" spans="1:29" ht="15.75" customHeight="1">
      <c r="A497" s="185"/>
      <c r="B497" s="189"/>
      <c r="C497" s="189"/>
      <c r="D497" s="189"/>
      <c r="E497" s="189"/>
      <c r="F497" s="189"/>
      <c r="G497" s="189"/>
      <c r="H497" s="189"/>
      <c r="I497" s="5"/>
      <c r="J497" s="6"/>
      <c r="K497" s="5"/>
      <c r="L497" s="189"/>
      <c r="M497" s="189"/>
      <c r="N497" s="189"/>
      <c r="O497" s="190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  <c r="AA497" s="185"/>
      <c r="AB497" s="185"/>
      <c r="AC497" s="185"/>
    </row>
    <row r="498" spans="1:29" ht="15.75" customHeight="1">
      <c r="A498" s="185"/>
      <c r="B498" s="189"/>
      <c r="C498" s="189"/>
      <c r="D498" s="189"/>
      <c r="E498" s="189"/>
      <c r="F498" s="189"/>
      <c r="G498" s="189"/>
      <c r="H498" s="189"/>
      <c r="I498" s="5"/>
      <c r="J498" s="6"/>
      <c r="K498" s="5"/>
      <c r="L498" s="189"/>
      <c r="M498" s="189"/>
      <c r="N498" s="189"/>
      <c r="O498" s="190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  <c r="AA498" s="185"/>
      <c r="AB498" s="185"/>
      <c r="AC498" s="185"/>
    </row>
    <row r="499" spans="1:29" ht="15.75" customHeight="1">
      <c r="A499" s="185"/>
      <c r="B499" s="189"/>
      <c r="C499" s="189"/>
      <c r="D499" s="189"/>
      <c r="E499" s="189"/>
      <c r="F499" s="189"/>
      <c r="G499" s="189"/>
      <c r="H499" s="189"/>
      <c r="I499" s="5"/>
      <c r="J499" s="6"/>
      <c r="K499" s="5"/>
      <c r="L499" s="189"/>
      <c r="M499" s="189"/>
      <c r="N499" s="189"/>
      <c r="O499" s="190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  <c r="AA499" s="185"/>
      <c r="AB499" s="185"/>
      <c r="AC499" s="185"/>
    </row>
    <row r="500" spans="1:29" ht="15.75" customHeight="1">
      <c r="A500" s="185"/>
      <c r="B500" s="189"/>
      <c r="C500" s="189"/>
      <c r="D500" s="189"/>
      <c r="E500" s="189"/>
      <c r="F500" s="189"/>
      <c r="G500" s="189"/>
      <c r="H500" s="189"/>
      <c r="I500" s="5"/>
      <c r="J500" s="6"/>
      <c r="K500" s="5"/>
      <c r="L500" s="189"/>
      <c r="M500" s="189"/>
      <c r="N500" s="189"/>
      <c r="O500" s="190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  <c r="AA500" s="185"/>
      <c r="AB500" s="185"/>
      <c r="AC500" s="185"/>
    </row>
    <row r="501" spans="1:29" ht="15.75" customHeight="1">
      <c r="A501" s="185"/>
      <c r="B501" s="189"/>
      <c r="C501" s="189"/>
      <c r="D501" s="189"/>
      <c r="E501" s="189"/>
      <c r="F501" s="189"/>
      <c r="G501" s="189"/>
      <c r="H501" s="189"/>
      <c r="I501" s="5"/>
      <c r="J501" s="6"/>
      <c r="K501" s="5"/>
      <c r="L501" s="189"/>
      <c r="M501" s="189"/>
      <c r="N501" s="189"/>
      <c r="O501" s="190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  <c r="AA501" s="185"/>
      <c r="AB501" s="185"/>
      <c r="AC501" s="185"/>
    </row>
    <row r="502" spans="1:29" ht="15.75" customHeight="1">
      <c r="A502" s="185"/>
      <c r="B502" s="189"/>
      <c r="C502" s="189"/>
      <c r="D502" s="189"/>
      <c r="E502" s="189"/>
      <c r="F502" s="189"/>
      <c r="G502" s="189"/>
      <c r="H502" s="189"/>
      <c r="I502" s="5"/>
      <c r="J502" s="6"/>
      <c r="K502" s="5"/>
      <c r="L502" s="189"/>
      <c r="M502" s="189"/>
      <c r="N502" s="189"/>
      <c r="O502" s="190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  <c r="AA502" s="185"/>
      <c r="AB502" s="185"/>
      <c r="AC502" s="185"/>
    </row>
    <row r="503" spans="1:29" ht="15.75" customHeight="1">
      <c r="A503" s="185"/>
      <c r="B503" s="189"/>
      <c r="C503" s="189"/>
      <c r="D503" s="189"/>
      <c r="E503" s="189"/>
      <c r="F503" s="189"/>
      <c r="G503" s="189"/>
      <c r="H503" s="189"/>
      <c r="I503" s="5"/>
      <c r="J503" s="6"/>
      <c r="K503" s="5"/>
      <c r="L503" s="189"/>
      <c r="M503" s="189"/>
      <c r="N503" s="189"/>
      <c r="O503" s="190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  <c r="AA503" s="185"/>
      <c r="AB503" s="185"/>
      <c r="AC503" s="185"/>
    </row>
    <row r="504" spans="1:29" ht="15.75" customHeight="1">
      <c r="A504" s="185"/>
      <c r="B504" s="189"/>
      <c r="C504" s="189"/>
      <c r="D504" s="189"/>
      <c r="E504" s="189"/>
      <c r="F504" s="189"/>
      <c r="G504" s="189"/>
      <c r="H504" s="189"/>
      <c r="I504" s="5"/>
      <c r="J504" s="6"/>
      <c r="K504" s="5"/>
      <c r="L504" s="189"/>
      <c r="M504" s="189"/>
      <c r="N504" s="189"/>
      <c r="O504" s="190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  <c r="AA504" s="185"/>
      <c r="AB504" s="185"/>
      <c r="AC504" s="185"/>
    </row>
    <row r="505" spans="1:29" ht="15.75" customHeight="1">
      <c r="A505" s="185"/>
      <c r="B505" s="189"/>
      <c r="C505" s="189"/>
      <c r="D505" s="189"/>
      <c r="E505" s="189"/>
      <c r="F505" s="189"/>
      <c r="G505" s="189"/>
      <c r="H505" s="189"/>
      <c r="I505" s="5"/>
      <c r="J505" s="6"/>
      <c r="K505" s="5"/>
      <c r="L505" s="189"/>
      <c r="M505" s="189"/>
      <c r="N505" s="189"/>
      <c r="O505" s="190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  <c r="AA505" s="185"/>
      <c r="AB505" s="185"/>
      <c r="AC505" s="185"/>
    </row>
    <row r="506" spans="1:29" ht="15.75" customHeight="1">
      <c r="A506" s="185"/>
      <c r="B506" s="189"/>
      <c r="C506" s="189"/>
      <c r="D506" s="189"/>
      <c r="E506" s="189"/>
      <c r="F506" s="189"/>
      <c r="G506" s="189"/>
      <c r="H506" s="189"/>
      <c r="I506" s="5"/>
      <c r="J506" s="6"/>
      <c r="K506" s="5"/>
      <c r="L506" s="189"/>
      <c r="M506" s="189"/>
      <c r="N506" s="189"/>
      <c r="O506" s="190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  <c r="AA506" s="185"/>
      <c r="AB506" s="185"/>
      <c r="AC506" s="185"/>
    </row>
    <row r="507" spans="1:29" ht="15.75" customHeight="1">
      <c r="A507" s="185"/>
      <c r="B507" s="189"/>
      <c r="C507" s="189"/>
      <c r="D507" s="189"/>
      <c r="E507" s="189"/>
      <c r="F507" s="189"/>
      <c r="G507" s="189"/>
      <c r="H507" s="189"/>
      <c r="I507" s="5"/>
      <c r="J507" s="6"/>
      <c r="K507" s="5"/>
      <c r="L507" s="189"/>
      <c r="M507" s="189"/>
      <c r="N507" s="189"/>
      <c r="O507" s="190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  <c r="AA507" s="185"/>
      <c r="AB507" s="185"/>
      <c r="AC507" s="185"/>
    </row>
    <row r="508" spans="1:29" ht="15.75" customHeight="1">
      <c r="A508" s="185"/>
      <c r="B508" s="189"/>
      <c r="C508" s="189"/>
      <c r="D508" s="189"/>
      <c r="E508" s="189"/>
      <c r="F508" s="189"/>
      <c r="G508" s="189"/>
      <c r="H508" s="189"/>
      <c r="I508" s="5"/>
      <c r="J508" s="6"/>
      <c r="K508" s="5"/>
      <c r="L508" s="189"/>
      <c r="M508" s="189"/>
      <c r="N508" s="189"/>
      <c r="O508" s="190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  <c r="AA508" s="185"/>
      <c r="AB508" s="185"/>
      <c r="AC508" s="185"/>
    </row>
    <row r="509" spans="1:29" ht="15.75" customHeight="1">
      <c r="A509" s="185"/>
      <c r="B509" s="189"/>
      <c r="C509" s="189"/>
      <c r="D509" s="189"/>
      <c r="E509" s="189"/>
      <c r="F509" s="189"/>
      <c r="G509" s="189"/>
      <c r="H509" s="189"/>
      <c r="I509" s="5"/>
      <c r="J509" s="6"/>
      <c r="K509" s="5"/>
      <c r="L509" s="189"/>
      <c r="M509" s="189"/>
      <c r="N509" s="189"/>
      <c r="O509" s="190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  <c r="AA509" s="185"/>
      <c r="AB509" s="185"/>
      <c r="AC509" s="185"/>
    </row>
    <row r="510" spans="1:29" ht="15.75" customHeight="1">
      <c r="A510" s="185"/>
      <c r="B510" s="189"/>
      <c r="C510" s="189"/>
      <c r="D510" s="189"/>
      <c r="E510" s="189"/>
      <c r="F510" s="189"/>
      <c r="G510" s="189"/>
      <c r="H510" s="189"/>
      <c r="I510" s="5"/>
      <c r="J510" s="6"/>
      <c r="K510" s="5"/>
      <c r="L510" s="189"/>
      <c r="M510" s="189"/>
      <c r="N510" s="189"/>
      <c r="O510" s="190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  <c r="AA510" s="185"/>
      <c r="AB510" s="185"/>
      <c r="AC510" s="185"/>
    </row>
    <row r="511" spans="1:29" ht="15.75" customHeight="1">
      <c r="A511" s="185"/>
      <c r="B511" s="189"/>
      <c r="C511" s="189"/>
      <c r="D511" s="189"/>
      <c r="E511" s="189"/>
      <c r="F511" s="189"/>
      <c r="G511" s="189"/>
      <c r="H511" s="189"/>
      <c r="I511" s="5"/>
      <c r="J511" s="6"/>
      <c r="K511" s="5"/>
      <c r="L511" s="189"/>
      <c r="M511" s="189"/>
      <c r="N511" s="189"/>
      <c r="O511" s="190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  <c r="AA511" s="185"/>
      <c r="AB511" s="185"/>
      <c r="AC511" s="185"/>
    </row>
    <row r="512" spans="1:29" ht="15.75" customHeight="1">
      <c r="A512" s="185"/>
      <c r="B512" s="189"/>
      <c r="C512" s="189"/>
      <c r="D512" s="189"/>
      <c r="E512" s="189"/>
      <c r="F512" s="189"/>
      <c r="G512" s="189"/>
      <c r="H512" s="189"/>
      <c r="I512" s="5"/>
      <c r="J512" s="6"/>
      <c r="K512" s="5"/>
      <c r="L512" s="189"/>
      <c r="M512" s="189"/>
      <c r="N512" s="189"/>
      <c r="O512" s="190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  <c r="AA512" s="185"/>
      <c r="AB512" s="185"/>
      <c r="AC512" s="185"/>
    </row>
    <row r="513" spans="1:29" ht="15.75" customHeight="1">
      <c r="A513" s="185"/>
      <c r="B513" s="189"/>
      <c r="C513" s="189"/>
      <c r="D513" s="189"/>
      <c r="E513" s="189"/>
      <c r="F513" s="189"/>
      <c r="G513" s="189"/>
      <c r="H513" s="189"/>
      <c r="I513" s="5"/>
      <c r="J513" s="6"/>
      <c r="K513" s="5"/>
      <c r="L513" s="189"/>
      <c r="M513" s="189"/>
      <c r="N513" s="189"/>
      <c r="O513" s="190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  <c r="AA513" s="185"/>
      <c r="AB513" s="185"/>
      <c r="AC513" s="185"/>
    </row>
    <row r="514" spans="1:29" ht="15.75" customHeight="1">
      <c r="A514" s="185"/>
      <c r="B514" s="189"/>
      <c r="C514" s="189"/>
      <c r="D514" s="189"/>
      <c r="E514" s="189"/>
      <c r="F514" s="189"/>
      <c r="G514" s="189"/>
      <c r="H514" s="189"/>
      <c r="I514" s="5"/>
      <c r="J514" s="6"/>
      <c r="K514" s="5"/>
      <c r="L514" s="189"/>
      <c r="M514" s="189"/>
      <c r="N514" s="189"/>
      <c r="O514" s="190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  <c r="AA514" s="185"/>
      <c r="AB514" s="185"/>
      <c r="AC514" s="185"/>
    </row>
    <row r="515" spans="1:29" ht="15.75" customHeight="1">
      <c r="A515" s="185"/>
      <c r="B515" s="189"/>
      <c r="C515" s="189"/>
      <c r="D515" s="189"/>
      <c r="E515" s="189"/>
      <c r="F515" s="189"/>
      <c r="G515" s="189"/>
      <c r="H515" s="189"/>
      <c r="I515" s="5"/>
      <c r="J515" s="6"/>
      <c r="K515" s="5"/>
      <c r="L515" s="189"/>
      <c r="M515" s="189"/>
      <c r="N515" s="189"/>
      <c r="O515" s="190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  <c r="AA515" s="185"/>
      <c r="AB515" s="185"/>
      <c r="AC515" s="185"/>
    </row>
    <row r="516" spans="1:29" ht="15.75" customHeight="1">
      <c r="A516" s="185"/>
      <c r="B516" s="189"/>
      <c r="C516" s="189"/>
      <c r="D516" s="189"/>
      <c r="E516" s="189"/>
      <c r="F516" s="189"/>
      <c r="G516" s="189"/>
      <c r="H516" s="189"/>
      <c r="I516" s="5"/>
      <c r="J516" s="6"/>
      <c r="K516" s="5"/>
      <c r="L516" s="189"/>
      <c r="M516" s="189"/>
      <c r="N516" s="189"/>
      <c r="O516" s="190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  <c r="AA516" s="185"/>
      <c r="AB516" s="185"/>
      <c r="AC516" s="185"/>
    </row>
    <row r="517" spans="1:29" ht="15.75" customHeight="1">
      <c r="A517" s="185"/>
      <c r="B517" s="189"/>
      <c r="C517" s="189"/>
      <c r="D517" s="189"/>
      <c r="E517" s="189"/>
      <c r="F517" s="189"/>
      <c r="G517" s="189"/>
      <c r="H517" s="189"/>
      <c r="I517" s="5"/>
      <c r="J517" s="6"/>
      <c r="K517" s="5"/>
      <c r="L517" s="189"/>
      <c r="M517" s="189"/>
      <c r="N517" s="189"/>
      <c r="O517" s="190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  <c r="AA517" s="185"/>
      <c r="AB517" s="185"/>
      <c r="AC517" s="185"/>
    </row>
    <row r="518" spans="1:29" ht="15.75" customHeight="1">
      <c r="A518" s="185"/>
      <c r="B518" s="189"/>
      <c r="C518" s="189"/>
      <c r="D518" s="189"/>
      <c r="E518" s="189"/>
      <c r="F518" s="189"/>
      <c r="G518" s="189"/>
      <c r="H518" s="189"/>
      <c r="I518" s="5"/>
      <c r="J518" s="6"/>
      <c r="K518" s="5"/>
      <c r="L518" s="189"/>
      <c r="M518" s="189"/>
      <c r="N518" s="189"/>
      <c r="O518" s="190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  <c r="AA518" s="185"/>
      <c r="AB518" s="185"/>
      <c r="AC518" s="185"/>
    </row>
    <row r="519" spans="1:29" ht="15.75" customHeight="1">
      <c r="A519" s="185"/>
      <c r="B519" s="189"/>
      <c r="C519" s="189"/>
      <c r="D519" s="189"/>
      <c r="E519" s="189"/>
      <c r="F519" s="189"/>
      <c r="G519" s="189"/>
      <c r="H519" s="189"/>
      <c r="I519" s="5"/>
      <c r="J519" s="6"/>
      <c r="K519" s="5"/>
      <c r="L519" s="189"/>
      <c r="M519" s="189"/>
      <c r="N519" s="189"/>
      <c r="O519" s="190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  <c r="AA519" s="185"/>
      <c r="AB519" s="185"/>
      <c r="AC519" s="185"/>
    </row>
    <row r="520" spans="1:29" ht="15.75" customHeight="1">
      <c r="A520" s="185"/>
      <c r="B520" s="189"/>
      <c r="C520" s="189"/>
      <c r="D520" s="189"/>
      <c r="E520" s="189"/>
      <c r="F520" s="189"/>
      <c r="G520" s="189"/>
      <c r="H520" s="189"/>
      <c r="I520" s="5"/>
      <c r="J520" s="6"/>
      <c r="K520" s="5"/>
      <c r="L520" s="189"/>
      <c r="M520" s="189"/>
      <c r="N520" s="189"/>
      <c r="O520" s="190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  <c r="AA520" s="185"/>
      <c r="AB520" s="185"/>
      <c r="AC520" s="185"/>
    </row>
    <row r="521" spans="1:29" ht="15.75" customHeight="1">
      <c r="A521" s="185"/>
      <c r="B521" s="189"/>
      <c r="C521" s="189"/>
      <c r="D521" s="189"/>
      <c r="E521" s="189"/>
      <c r="F521" s="189"/>
      <c r="G521" s="189"/>
      <c r="H521" s="189"/>
      <c r="I521" s="5"/>
      <c r="J521" s="6"/>
      <c r="K521" s="5"/>
      <c r="L521" s="189"/>
      <c r="M521" s="189"/>
      <c r="N521" s="189"/>
      <c r="O521" s="190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  <c r="AA521" s="185"/>
      <c r="AB521" s="185"/>
      <c r="AC521" s="185"/>
    </row>
    <row r="522" spans="1:29" ht="15.75" customHeight="1">
      <c r="A522" s="185"/>
      <c r="B522" s="189"/>
      <c r="C522" s="189"/>
      <c r="D522" s="189"/>
      <c r="E522" s="189"/>
      <c r="F522" s="189"/>
      <c r="G522" s="189"/>
      <c r="H522" s="189"/>
      <c r="I522" s="5"/>
      <c r="J522" s="6"/>
      <c r="K522" s="5"/>
      <c r="L522" s="189"/>
      <c r="M522" s="189"/>
      <c r="N522" s="189"/>
      <c r="O522" s="190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  <c r="AA522" s="185"/>
      <c r="AB522" s="185"/>
      <c r="AC522" s="185"/>
    </row>
    <row r="523" spans="1:29" ht="15.75" customHeight="1">
      <c r="A523" s="185"/>
      <c r="B523" s="189"/>
      <c r="C523" s="189"/>
      <c r="D523" s="189"/>
      <c r="E523" s="189"/>
      <c r="F523" s="189"/>
      <c r="G523" s="189"/>
      <c r="H523" s="189"/>
      <c r="I523" s="5"/>
      <c r="J523" s="6"/>
      <c r="K523" s="5"/>
      <c r="L523" s="189"/>
      <c r="M523" s="189"/>
      <c r="N523" s="189"/>
      <c r="O523" s="190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  <c r="AA523" s="185"/>
      <c r="AB523" s="185"/>
      <c r="AC523" s="185"/>
    </row>
    <row r="524" spans="1:29" ht="15.75" customHeight="1">
      <c r="A524" s="185"/>
      <c r="B524" s="189"/>
      <c r="C524" s="189"/>
      <c r="D524" s="189"/>
      <c r="E524" s="189"/>
      <c r="F524" s="189"/>
      <c r="G524" s="189"/>
      <c r="H524" s="189"/>
      <c r="I524" s="5"/>
      <c r="J524" s="6"/>
      <c r="K524" s="5"/>
      <c r="L524" s="189"/>
      <c r="M524" s="189"/>
      <c r="N524" s="189"/>
      <c r="O524" s="190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  <c r="AA524" s="185"/>
      <c r="AB524" s="185"/>
      <c r="AC524" s="185"/>
    </row>
    <row r="525" spans="1:29" ht="15.75" customHeight="1">
      <c r="A525" s="185"/>
      <c r="B525" s="189"/>
      <c r="C525" s="189"/>
      <c r="D525" s="189"/>
      <c r="E525" s="189"/>
      <c r="F525" s="189"/>
      <c r="G525" s="189"/>
      <c r="H525" s="189"/>
      <c r="I525" s="5"/>
      <c r="J525" s="6"/>
      <c r="K525" s="5"/>
      <c r="L525" s="189"/>
      <c r="M525" s="189"/>
      <c r="N525" s="189"/>
      <c r="O525" s="190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  <c r="AA525" s="185"/>
      <c r="AB525" s="185"/>
      <c r="AC525" s="185"/>
    </row>
    <row r="526" spans="1:29" ht="15.75" customHeight="1">
      <c r="A526" s="185"/>
      <c r="B526" s="189"/>
      <c r="C526" s="189"/>
      <c r="D526" s="189"/>
      <c r="E526" s="189"/>
      <c r="F526" s="189"/>
      <c r="G526" s="189"/>
      <c r="H526" s="189"/>
      <c r="I526" s="5"/>
      <c r="J526" s="6"/>
      <c r="K526" s="5"/>
      <c r="L526" s="189"/>
      <c r="M526" s="189"/>
      <c r="N526" s="189"/>
      <c r="O526" s="190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  <c r="AA526" s="185"/>
      <c r="AB526" s="185"/>
      <c r="AC526" s="185"/>
    </row>
    <row r="527" spans="1:29" ht="15.75" customHeight="1">
      <c r="A527" s="185"/>
      <c r="B527" s="189"/>
      <c r="C527" s="189"/>
      <c r="D527" s="189"/>
      <c r="E527" s="189"/>
      <c r="F527" s="189"/>
      <c r="G527" s="189"/>
      <c r="H527" s="189"/>
      <c r="I527" s="5"/>
      <c r="J527" s="6"/>
      <c r="K527" s="5"/>
      <c r="L527" s="189"/>
      <c r="M527" s="189"/>
      <c r="N527" s="189"/>
      <c r="O527" s="190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  <c r="AA527" s="185"/>
      <c r="AB527" s="185"/>
      <c r="AC527" s="185"/>
    </row>
    <row r="528" spans="1:29" ht="15.75" customHeight="1">
      <c r="A528" s="185"/>
      <c r="B528" s="189"/>
      <c r="C528" s="189"/>
      <c r="D528" s="189"/>
      <c r="E528" s="189"/>
      <c r="F528" s="189"/>
      <c r="G528" s="189"/>
      <c r="H528" s="189"/>
      <c r="I528" s="5"/>
      <c r="J528" s="6"/>
      <c r="K528" s="5"/>
      <c r="L528" s="189"/>
      <c r="M528" s="189"/>
      <c r="N528" s="189"/>
      <c r="O528" s="190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  <c r="AA528" s="185"/>
      <c r="AB528" s="185"/>
      <c r="AC528" s="185"/>
    </row>
    <row r="529" spans="1:29" ht="15.75" customHeight="1">
      <c r="A529" s="185"/>
      <c r="B529" s="189"/>
      <c r="C529" s="189"/>
      <c r="D529" s="189"/>
      <c r="E529" s="189"/>
      <c r="F529" s="189"/>
      <c r="G529" s="189"/>
      <c r="H529" s="189"/>
      <c r="I529" s="5"/>
      <c r="J529" s="6"/>
      <c r="K529" s="5"/>
      <c r="L529" s="189"/>
      <c r="M529" s="189"/>
      <c r="N529" s="189"/>
      <c r="O529" s="190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  <c r="AA529" s="185"/>
      <c r="AB529" s="185"/>
      <c r="AC529" s="185"/>
    </row>
    <row r="530" spans="1:29" ht="15.75" customHeight="1">
      <c r="A530" s="185"/>
      <c r="B530" s="189"/>
      <c r="C530" s="189"/>
      <c r="D530" s="189"/>
      <c r="E530" s="189"/>
      <c r="F530" s="189"/>
      <c r="G530" s="189"/>
      <c r="H530" s="189"/>
      <c r="I530" s="5"/>
      <c r="J530" s="6"/>
      <c r="K530" s="5"/>
      <c r="L530" s="189"/>
      <c r="M530" s="189"/>
      <c r="N530" s="189"/>
      <c r="O530" s="190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  <c r="AA530" s="185"/>
      <c r="AB530" s="185"/>
      <c r="AC530" s="185"/>
    </row>
    <row r="531" spans="1:29" ht="15.75" customHeight="1">
      <c r="A531" s="185"/>
      <c r="B531" s="189"/>
      <c r="C531" s="189"/>
      <c r="D531" s="189"/>
      <c r="E531" s="189"/>
      <c r="F531" s="189"/>
      <c r="G531" s="189"/>
      <c r="H531" s="189"/>
      <c r="I531" s="5"/>
      <c r="J531" s="6"/>
      <c r="K531" s="5"/>
      <c r="L531" s="189"/>
      <c r="M531" s="189"/>
      <c r="N531" s="189"/>
      <c r="O531" s="190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  <c r="AA531" s="185"/>
      <c r="AB531" s="185"/>
      <c r="AC531" s="185"/>
    </row>
    <row r="532" spans="1:29" ht="15.75" customHeight="1">
      <c r="A532" s="185"/>
      <c r="B532" s="189"/>
      <c r="C532" s="189"/>
      <c r="D532" s="189"/>
      <c r="E532" s="189"/>
      <c r="F532" s="189"/>
      <c r="G532" s="189"/>
      <c r="H532" s="189"/>
      <c r="I532" s="5"/>
      <c r="J532" s="6"/>
      <c r="K532" s="5"/>
      <c r="L532" s="189"/>
      <c r="M532" s="189"/>
      <c r="N532" s="189"/>
      <c r="O532" s="190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  <c r="AA532" s="185"/>
      <c r="AB532" s="185"/>
      <c r="AC532" s="185"/>
    </row>
    <row r="533" spans="1:29" ht="15.75" customHeight="1">
      <c r="A533" s="185"/>
      <c r="B533" s="189"/>
      <c r="C533" s="189"/>
      <c r="D533" s="189"/>
      <c r="E533" s="189"/>
      <c r="F533" s="189"/>
      <c r="G533" s="189"/>
      <c r="H533" s="189"/>
      <c r="I533" s="5"/>
      <c r="J533" s="6"/>
      <c r="K533" s="5"/>
      <c r="L533" s="189"/>
      <c r="M533" s="189"/>
      <c r="N533" s="189"/>
      <c r="O533" s="190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  <c r="AA533" s="185"/>
      <c r="AB533" s="185"/>
      <c r="AC533" s="185"/>
    </row>
    <row r="534" spans="1:29" ht="15.75" customHeight="1">
      <c r="A534" s="185"/>
      <c r="B534" s="189"/>
      <c r="C534" s="189"/>
      <c r="D534" s="189"/>
      <c r="E534" s="189"/>
      <c r="F534" s="189"/>
      <c r="G534" s="189"/>
      <c r="H534" s="189"/>
      <c r="I534" s="5"/>
      <c r="J534" s="6"/>
      <c r="K534" s="5"/>
      <c r="L534" s="189"/>
      <c r="M534" s="189"/>
      <c r="N534" s="189"/>
      <c r="O534" s="190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  <c r="AA534" s="185"/>
      <c r="AB534" s="185"/>
      <c r="AC534" s="185"/>
    </row>
    <row r="535" spans="1:29" ht="15.75" customHeight="1">
      <c r="A535" s="185"/>
      <c r="B535" s="189"/>
      <c r="C535" s="189"/>
      <c r="D535" s="189"/>
      <c r="E535" s="189"/>
      <c r="F535" s="189"/>
      <c r="G535" s="189"/>
      <c r="H535" s="189"/>
      <c r="I535" s="5"/>
      <c r="J535" s="6"/>
      <c r="K535" s="5"/>
      <c r="L535" s="189"/>
      <c r="M535" s="189"/>
      <c r="N535" s="189"/>
      <c r="O535" s="190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  <c r="AA535" s="185"/>
      <c r="AB535" s="185"/>
      <c r="AC535" s="185"/>
    </row>
    <row r="536" spans="1:29" ht="15.75" customHeight="1">
      <c r="A536" s="185"/>
      <c r="B536" s="189"/>
      <c r="C536" s="189"/>
      <c r="D536" s="189"/>
      <c r="E536" s="189"/>
      <c r="F536" s="189"/>
      <c r="G536" s="189"/>
      <c r="H536" s="189"/>
      <c r="I536" s="5"/>
      <c r="J536" s="6"/>
      <c r="K536" s="5"/>
      <c r="L536" s="189"/>
      <c r="M536" s="189"/>
      <c r="N536" s="189"/>
      <c r="O536" s="190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  <c r="AA536" s="185"/>
      <c r="AB536" s="185"/>
      <c r="AC536" s="185"/>
    </row>
    <row r="537" spans="1:29" ht="15.75" customHeight="1">
      <c r="A537" s="185"/>
      <c r="B537" s="189"/>
      <c r="C537" s="189"/>
      <c r="D537" s="189"/>
      <c r="E537" s="189"/>
      <c r="F537" s="189"/>
      <c r="G537" s="189"/>
      <c r="H537" s="189"/>
      <c r="I537" s="5"/>
      <c r="J537" s="6"/>
      <c r="K537" s="5"/>
      <c r="L537" s="189"/>
      <c r="M537" s="189"/>
      <c r="N537" s="189"/>
      <c r="O537" s="190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  <c r="AA537" s="185"/>
      <c r="AB537" s="185"/>
      <c r="AC537" s="185"/>
    </row>
    <row r="538" spans="1:29" ht="15.75" customHeight="1">
      <c r="A538" s="185"/>
      <c r="B538" s="189"/>
      <c r="C538" s="189"/>
      <c r="D538" s="189"/>
      <c r="E538" s="189"/>
      <c r="F538" s="189"/>
      <c r="G538" s="189"/>
      <c r="H538" s="189"/>
      <c r="I538" s="5"/>
      <c r="J538" s="6"/>
      <c r="K538" s="5"/>
      <c r="L538" s="189"/>
      <c r="M538" s="189"/>
      <c r="N538" s="189"/>
      <c r="O538" s="190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  <c r="AA538" s="185"/>
      <c r="AB538" s="185"/>
      <c r="AC538" s="185"/>
    </row>
    <row r="539" spans="1:29" ht="15.75" customHeight="1">
      <c r="A539" s="185"/>
      <c r="B539" s="189"/>
      <c r="C539" s="189"/>
      <c r="D539" s="189"/>
      <c r="E539" s="189"/>
      <c r="F539" s="189"/>
      <c r="G539" s="189"/>
      <c r="H539" s="189"/>
      <c r="I539" s="5"/>
      <c r="J539" s="6"/>
      <c r="K539" s="5"/>
      <c r="L539" s="189"/>
      <c r="M539" s="189"/>
      <c r="N539" s="189"/>
      <c r="O539" s="190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  <c r="AA539" s="185"/>
      <c r="AB539" s="185"/>
      <c r="AC539" s="185"/>
    </row>
    <row r="540" spans="1:29" ht="15.75" customHeight="1">
      <c r="A540" s="185"/>
      <c r="B540" s="189"/>
      <c r="C540" s="189"/>
      <c r="D540" s="189"/>
      <c r="E540" s="189"/>
      <c r="F540" s="189"/>
      <c r="G540" s="189"/>
      <c r="H540" s="189"/>
      <c r="I540" s="5"/>
      <c r="J540" s="6"/>
      <c r="K540" s="5"/>
      <c r="L540" s="189"/>
      <c r="M540" s="189"/>
      <c r="N540" s="189"/>
      <c r="O540" s="190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  <c r="AA540" s="185"/>
      <c r="AB540" s="185"/>
      <c r="AC540" s="185"/>
    </row>
    <row r="541" spans="1:29" ht="15.75" customHeight="1">
      <c r="A541" s="185"/>
      <c r="B541" s="189"/>
      <c r="C541" s="189"/>
      <c r="D541" s="189"/>
      <c r="E541" s="189"/>
      <c r="F541" s="189"/>
      <c r="G541" s="189"/>
      <c r="H541" s="189"/>
      <c r="I541" s="5"/>
      <c r="J541" s="6"/>
      <c r="K541" s="5"/>
      <c r="L541" s="189"/>
      <c r="M541" s="189"/>
      <c r="N541" s="189"/>
      <c r="O541" s="190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  <c r="AA541" s="185"/>
      <c r="AB541" s="185"/>
      <c r="AC541" s="185"/>
    </row>
    <row r="542" spans="1:29" ht="15.75" customHeight="1">
      <c r="A542" s="185"/>
      <c r="B542" s="189"/>
      <c r="C542" s="189"/>
      <c r="D542" s="189"/>
      <c r="E542" s="189"/>
      <c r="F542" s="189"/>
      <c r="G542" s="189"/>
      <c r="H542" s="189"/>
      <c r="I542" s="5"/>
      <c r="J542" s="6"/>
      <c r="K542" s="5"/>
      <c r="L542" s="189"/>
      <c r="M542" s="189"/>
      <c r="N542" s="189"/>
      <c r="O542" s="190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  <c r="AA542" s="185"/>
      <c r="AB542" s="185"/>
      <c r="AC542" s="185"/>
    </row>
    <row r="543" spans="1:29" ht="15.75" customHeight="1">
      <c r="A543" s="185"/>
      <c r="B543" s="189"/>
      <c r="C543" s="189"/>
      <c r="D543" s="189"/>
      <c r="E543" s="189"/>
      <c r="F543" s="189"/>
      <c r="G543" s="189"/>
      <c r="H543" s="189"/>
      <c r="I543" s="5"/>
      <c r="J543" s="6"/>
      <c r="K543" s="5"/>
      <c r="L543" s="189"/>
      <c r="M543" s="189"/>
      <c r="N543" s="189"/>
      <c r="O543" s="190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  <c r="AA543" s="185"/>
      <c r="AB543" s="185"/>
      <c r="AC543" s="185"/>
    </row>
    <row r="544" spans="1:29" ht="15.75" customHeight="1">
      <c r="A544" s="185"/>
      <c r="B544" s="189"/>
      <c r="C544" s="189"/>
      <c r="D544" s="189"/>
      <c r="E544" s="189"/>
      <c r="F544" s="189"/>
      <c r="G544" s="189"/>
      <c r="H544" s="189"/>
      <c r="I544" s="5"/>
      <c r="J544" s="6"/>
      <c r="K544" s="5"/>
      <c r="L544" s="189"/>
      <c r="M544" s="189"/>
      <c r="N544" s="189"/>
      <c r="O544" s="190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  <c r="AA544" s="185"/>
      <c r="AB544" s="185"/>
      <c r="AC544" s="185"/>
    </row>
    <row r="545" spans="1:29" ht="15.75" customHeight="1">
      <c r="A545" s="185"/>
      <c r="B545" s="189"/>
      <c r="C545" s="189"/>
      <c r="D545" s="189"/>
      <c r="E545" s="189"/>
      <c r="F545" s="189"/>
      <c r="G545" s="189"/>
      <c r="H545" s="189"/>
      <c r="I545" s="5"/>
      <c r="J545" s="6"/>
      <c r="K545" s="5"/>
      <c r="L545" s="189"/>
      <c r="M545" s="189"/>
      <c r="N545" s="189"/>
      <c r="O545" s="190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  <c r="AA545" s="185"/>
      <c r="AB545" s="185"/>
      <c r="AC545" s="185"/>
    </row>
    <row r="546" spans="1:29" ht="15.75" customHeight="1">
      <c r="A546" s="185"/>
      <c r="B546" s="189"/>
      <c r="C546" s="189"/>
      <c r="D546" s="189"/>
      <c r="E546" s="189"/>
      <c r="F546" s="189"/>
      <c r="G546" s="189"/>
      <c r="H546" s="189"/>
      <c r="I546" s="5"/>
      <c r="J546" s="6"/>
      <c r="K546" s="5"/>
      <c r="L546" s="189"/>
      <c r="M546" s="189"/>
      <c r="N546" s="189"/>
      <c r="O546" s="190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  <c r="AA546" s="185"/>
      <c r="AB546" s="185"/>
      <c r="AC546" s="185"/>
    </row>
    <row r="547" spans="1:29" ht="15.75" customHeight="1">
      <c r="A547" s="185"/>
      <c r="B547" s="189"/>
      <c r="C547" s="189"/>
      <c r="D547" s="189"/>
      <c r="E547" s="189"/>
      <c r="F547" s="189"/>
      <c r="G547" s="189"/>
      <c r="H547" s="189"/>
      <c r="I547" s="5"/>
      <c r="J547" s="6"/>
      <c r="K547" s="5"/>
      <c r="L547" s="189"/>
      <c r="M547" s="189"/>
      <c r="N547" s="189"/>
      <c r="O547" s="190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  <c r="AA547" s="185"/>
      <c r="AB547" s="185"/>
      <c r="AC547" s="185"/>
    </row>
    <row r="548" spans="1:29" ht="15.75" customHeight="1">
      <c r="A548" s="185"/>
      <c r="B548" s="189"/>
      <c r="C548" s="189"/>
      <c r="D548" s="189"/>
      <c r="E548" s="189"/>
      <c r="F548" s="189"/>
      <c r="G548" s="189"/>
      <c r="H548" s="189"/>
      <c r="I548" s="5"/>
      <c r="J548" s="6"/>
      <c r="K548" s="5"/>
      <c r="L548" s="189"/>
      <c r="M548" s="189"/>
      <c r="N548" s="189"/>
      <c r="O548" s="190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  <c r="AA548" s="185"/>
      <c r="AB548" s="185"/>
      <c r="AC548" s="185"/>
    </row>
    <row r="549" spans="1:29" ht="15.75" customHeight="1">
      <c r="A549" s="185"/>
      <c r="B549" s="189"/>
      <c r="C549" s="189"/>
      <c r="D549" s="189"/>
      <c r="E549" s="189"/>
      <c r="F549" s="189"/>
      <c r="G549" s="189"/>
      <c r="H549" s="189"/>
      <c r="I549" s="5"/>
      <c r="J549" s="6"/>
      <c r="K549" s="5"/>
      <c r="L549" s="189"/>
      <c r="M549" s="189"/>
      <c r="N549" s="189"/>
      <c r="O549" s="190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  <c r="AA549" s="185"/>
      <c r="AB549" s="185"/>
      <c r="AC549" s="185"/>
    </row>
    <row r="550" spans="1:29" ht="15.75" customHeight="1">
      <c r="A550" s="185"/>
      <c r="B550" s="189"/>
      <c r="C550" s="189"/>
      <c r="D550" s="189"/>
      <c r="E550" s="189"/>
      <c r="F550" s="189"/>
      <c r="G550" s="189"/>
      <c r="H550" s="189"/>
      <c r="I550" s="5"/>
      <c r="J550" s="6"/>
      <c r="K550" s="5"/>
      <c r="L550" s="189"/>
      <c r="M550" s="189"/>
      <c r="N550" s="189"/>
      <c r="O550" s="190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  <c r="AA550" s="185"/>
      <c r="AB550" s="185"/>
      <c r="AC550" s="185"/>
    </row>
    <row r="551" spans="1:29" ht="15.75" customHeight="1">
      <c r="A551" s="185"/>
      <c r="B551" s="189"/>
      <c r="C551" s="189"/>
      <c r="D551" s="189"/>
      <c r="E551" s="189"/>
      <c r="F551" s="189"/>
      <c r="G551" s="189"/>
      <c r="H551" s="189"/>
      <c r="I551" s="5"/>
      <c r="J551" s="6"/>
      <c r="K551" s="5"/>
      <c r="L551" s="189"/>
      <c r="M551" s="189"/>
      <c r="N551" s="189"/>
      <c r="O551" s="190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  <c r="AA551" s="185"/>
      <c r="AB551" s="185"/>
      <c r="AC551" s="185"/>
    </row>
    <row r="552" spans="1:29" ht="15.75" customHeight="1">
      <c r="A552" s="185"/>
      <c r="B552" s="189"/>
      <c r="C552" s="189"/>
      <c r="D552" s="189"/>
      <c r="E552" s="189"/>
      <c r="F552" s="189"/>
      <c r="G552" s="189"/>
      <c r="H552" s="189"/>
      <c r="I552" s="5"/>
      <c r="J552" s="6"/>
      <c r="K552" s="5"/>
      <c r="L552" s="189"/>
      <c r="M552" s="189"/>
      <c r="N552" s="189"/>
      <c r="O552" s="190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  <c r="AA552" s="185"/>
      <c r="AB552" s="185"/>
      <c r="AC552" s="185"/>
    </row>
    <row r="553" spans="1:29" ht="15.75" customHeight="1">
      <c r="A553" s="185"/>
      <c r="B553" s="189"/>
      <c r="C553" s="189"/>
      <c r="D553" s="189"/>
      <c r="E553" s="189"/>
      <c r="F553" s="189"/>
      <c r="G553" s="189"/>
      <c r="H553" s="189"/>
      <c r="I553" s="5"/>
      <c r="J553" s="6"/>
      <c r="K553" s="5"/>
      <c r="L553" s="189"/>
      <c r="M553" s="189"/>
      <c r="N553" s="189"/>
      <c r="O553" s="190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  <c r="AA553" s="185"/>
      <c r="AB553" s="185"/>
      <c r="AC553" s="185"/>
    </row>
    <row r="554" spans="1:29" ht="15.75" customHeight="1">
      <c r="A554" s="185"/>
      <c r="B554" s="189"/>
      <c r="C554" s="189"/>
      <c r="D554" s="189"/>
      <c r="E554" s="189"/>
      <c r="F554" s="189"/>
      <c r="G554" s="189"/>
      <c r="H554" s="189"/>
      <c r="I554" s="5"/>
      <c r="J554" s="6"/>
      <c r="K554" s="5"/>
      <c r="L554" s="189"/>
      <c r="M554" s="189"/>
      <c r="N554" s="189"/>
      <c r="O554" s="190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  <c r="AA554" s="185"/>
      <c r="AB554" s="185"/>
      <c r="AC554" s="185"/>
    </row>
    <row r="555" spans="1:29" ht="15.75" customHeight="1">
      <c r="A555" s="185"/>
      <c r="B555" s="189"/>
      <c r="C555" s="189"/>
      <c r="D555" s="189"/>
      <c r="E555" s="189"/>
      <c r="F555" s="189"/>
      <c r="G555" s="189"/>
      <c r="H555" s="189"/>
      <c r="I555" s="5"/>
      <c r="J555" s="6"/>
      <c r="K555" s="5"/>
      <c r="L555" s="189"/>
      <c r="M555" s="189"/>
      <c r="N555" s="189"/>
      <c r="O555" s="190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  <c r="AA555" s="185"/>
      <c r="AB555" s="185"/>
      <c r="AC555" s="185"/>
    </row>
    <row r="556" spans="1:29" ht="15.75" customHeight="1">
      <c r="A556" s="185"/>
      <c r="B556" s="189"/>
      <c r="C556" s="189"/>
      <c r="D556" s="189"/>
      <c r="E556" s="189"/>
      <c r="F556" s="189"/>
      <c r="G556" s="189"/>
      <c r="H556" s="189"/>
      <c r="I556" s="5"/>
      <c r="J556" s="6"/>
      <c r="K556" s="5"/>
      <c r="L556" s="189"/>
      <c r="M556" s="189"/>
      <c r="N556" s="189"/>
      <c r="O556" s="190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  <c r="AA556" s="185"/>
      <c r="AB556" s="185"/>
      <c r="AC556" s="185"/>
    </row>
    <row r="557" spans="1:29" ht="15.75" customHeight="1">
      <c r="A557" s="185"/>
      <c r="B557" s="189"/>
      <c r="C557" s="189"/>
      <c r="D557" s="189"/>
      <c r="E557" s="189"/>
      <c r="F557" s="189"/>
      <c r="G557" s="189"/>
      <c r="H557" s="189"/>
      <c r="I557" s="5"/>
      <c r="J557" s="6"/>
      <c r="K557" s="5"/>
      <c r="L557" s="189"/>
      <c r="M557" s="189"/>
      <c r="N557" s="189"/>
      <c r="O557" s="190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  <c r="AA557" s="185"/>
      <c r="AB557" s="185"/>
      <c r="AC557" s="185"/>
    </row>
    <row r="558" spans="1:29" ht="15.75" customHeight="1">
      <c r="A558" s="185"/>
      <c r="B558" s="189"/>
      <c r="C558" s="189"/>
      <c r="D558" s="189"/>
      <c r="E558" s="189"/>
      <c r="F558" s="189"/>
      <c r="G558" s="189"/>
      <c r="H558" s="189"/>
      <c r="I558" s="5"/>
      <c r="J558" s="6"/>
      <c r="K558" s="5"/>
      <c r="L558" s="189"/>
      <c r="M558" s="189"/>
      <c r="N558" s="189"/>
      <c r="O558" s="190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  <c r="AA558" s="185"/>
      <c r="AB558" s="185"/>
      <c r="AC558" s="185"/>
    </row>
    <row r="559" spans="1:29" ht="15.75" customHeight="1">
      <c r="A559" s="185"/>
      <c r="B559" s="189"/>
      <c r="C559" s="189"/>
      <c r="D559" s="189"/>
      <c r="E559" s="189"/>
      <c r="F559" s="189"/>
      <c r="G559" s="189"/>
      <c r="H559" s="189"/>
      <c r="I559" s="5"/>
      <c r="J559" s="6"/>
      <c r="K559" s="5"/>
      <c r="L559" s="189"/>
      <c r="M559" s="189"/>
      <c r="N559" s="189"/>
      <c r="O559" s="190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  <c r="AA559" s="185"/>
      <c r="AB559" s="185"/>
      <c r="AC559" s="185"/>
    </row>
    <row r="560" spans="1:29" ht="15.75" customHeight="1">
      <c r="A560" s="185"/>
      <c r="B560" s="189"/>
      <c r="C560" s="189"/>
      <c r="D560" s="189"/>
      <c r="E560" s="189"/>
      <c r="F560" s="189"/>
      <c r="G560" s="189"/>
      <c r="H560" s="189"/>
      <c r="I560" s="5"/>
      <c r="J560" s="6"/>
      <c r="K560" s="5"/>
      <c r="L560" s="189"/>
      <c r="M560" s="189"/>
      <c r="N560" s="189"/>
      <c r="O560" s="190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  <c r="AA560" s="185"/>
      <c r="AB560" s="185"/>
      <c r="AC560" s="185"/>
    </row>
    <row r="561" spans="1:29" ht="15.75" customHeight="1">
      <c r="A561" s="185"/>
      <c r="B561" s="189"/>
      <c r="C561" s="189"/>
      <c r="D561" s="189"/>
      <c r="E561" s="189"/>
      <c r="F561" s="189"/>
      <c r="G561" s="189"/>
      <c r="H561" s="189"/>
      <c r="I561" s="5"/>
      <c r="J561" s="6"/>
      <c r="K561" s="5"/>
      <c r="L561" s="189"/>
      <c r="M561" s="189"/>
      <c r="N561" s="189"/>
      <c r="O561" s="190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  <c r="AA561" s="185"/>
      <c r="AB561" s="185"/>
      <c r="AC561" s="185"/>
    </row>
    <row r="562" spans="1:29" ht="15.75" customHeight="1">
      <c r="A562" s="185"/>
      <c r="B562" s="189"/>
      <c r="C562" s="189"/>
      <c r="D562" s="189"/>
      <c r="E562" s="189"/>
      <c r="F562" s="189"/>
      <c r="G562" s="189"/>
      <c r="H562" s="189"/>
      <c r="I562" s="5"/>
      <c r="J562" s="6"/>
      <c r="K562" s="5"/>
      <c r="L562" s="189"/>
      <c r="M562" s="189"/>
      <c r="N562" s="189"/>
      <c r="O562" s="190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  <c r="AA562" s="185"/>
      <c r="AB562" s="185"/>
      <c r="AC562" s="185"/>
    </row>
    <row r="563" spans="1:29" ht="15.75" customHeight="1">
      <c r="A563" s="185"/>
      <c r="B563" s="189"/>
      <c r="C563" s="189"/>
      <c r="D563" s="189"/>
      <c r="E563" s="189"/>
      <c r="F563" s="189"/>
      <c r="G563" s="189"/>
      <c r="H563" s="189"/>
      <c r="I563" s="5"/>
      <c r="J563" s="6"/>
      <c r="K563" s="5"/>
      <c r="L563" s="189"/>
      <c r="M563" s="189"/>
      <c r="N563" s="189"/>
      <c r="O563" s="190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  <c r="AA563" s="185"/>
      <c r="AB563" s="185"/>
      <c r="AC563" s="185"/>
    </row>
    <row r="564" spans="1:29" ht="15.75" customHeight="1">
      <c r="A564" s="185"/>
      <c r="B564" s="189"/>
      <c r="C564" s="189"/>
      <c r="D564" s="189"/>
      <c r="E564" s="189"/>
      <c r="F564" s="189"/>
      <c r="G564" s="189"/>
      <c r="H564" s="189"/>
      <c r="I564" s="5"/>
      <c r="J564" s="6"/>
      <c r="K564" s="5"/>
      <c r="L564" s="189"/>
      <c r="M564" s="189"/>
      <c r="N564" s="189"/>
      <c r="O564" s="190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  <c r="AA564" s="185"/>
      <c r="AB564" s="185"/>
      <c r="AC564" s="185"/>
    </row>
    <row r="565" spans="1:29" ht="15.75" customHeight="1">
      <c r="A565" s="185"/>
      <c r="B565" s="189"/>
      <c r="C565" s="189"/>
      <c r="D565" s="189"/>
      <c r="E565" s="189"/>
      <c r="F565" s="189"/>
      <c r="G565" s="189"/>
      <c r="H565" s="189"/>
      <c r="I565" s="5"/>
      <c r="J565" s="6"/>
      <c r="K565" s="5"/>
      <c r="L565" s="189"/>
      <c r="M565" s="189"/>
      <c r="N565" s="189"/>
      <c r="O565" s="190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  <c r="AA565" s="185"/>
      <c r="AB565" s="185"/>
      <c r="AC565" s="185"/>
    </row>
    <row r="566" spans="1:29" ht="15.75" customHeight="1">
      <c r="A566" s="185"/>
      <c r="B566" s="189"/>
      <c r="C566" s="189"/>
      <c r="D566" s="189"/>
      <c r="E566" s="189"/>
      <c r="F566" s="189"/>
      <c r="G566" s="189"/>
      <c r="H566" s="189"/>
      <c r="I566" s="5"/>
      <c r="J566" s="6"/>
      <c r="K566" s="5"/>
      <c r="L566" s="189"/>
      <c r="M566" s="189"/>
      <c r="N566" s="189"/>
      <c r="O566" s="190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  <c r="AA566" s="185"/>
      <c r="AB566" s="185"/>
      <c r="AC566" s="185"/>
    </row>
    <row r="567" spans="1:29" ht="15.75" customHeight="1">
      <c r="A567" s="185"/>
      <c r="B567" s="189"/>
      <c r="C567" s="189"/>
      <c r="D567" s="189"/>
      <c r="E567" s="189"/>
      <c r="F567" s="189"/>
      <c r="G567" s="189"/>
      <c r="H567" s="189"/>
      <c r="I567" s="5"/>
      <c r="J567" s="6"/>
      <c r="K567" s="5"/>
      <c r="L567" s="189"/>
      <c r="M567" s="189"/>
      <c r="N567" s="189"/>
      <c r="O567" s="190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  <c r="AA567" s="185"/>
      <c r="AB567" s="185"/>
      <c r="AC567" s="185"/>
    </row>
    <row r="568" spans="1:29" ht="15.75" customHeight="1">
      <c r="A568" s="185"/>
      <c r="B568" s="189"/>
      <c r="C568" s="189"/>
      <c r="D568" s="189"/>
      <c r="E568" s="189"/>
      <c r="F568" s="189"/>
      <c r="G568" s="189"/>
      <c r="H568" s="189"/>
      <c r="I568" s="5"/>
      <c r="J568" s="6"/>
      <c r="K568" s="5"/>
      <c r="L568" s="189"/>
      <c r="M568" s="189"/>
      <c r="N568" s="189"/>
      <c r="O568" s="190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  <c r="AA568" s="185"/>
      <c r="AB568" s="185"/>
      <c r="AC568" s="185"/>
    </row>
    <row r="569" spans="1:29" ht="15.75" customHeight="1">
      <c r="A569" s="185"/>
      <c r="B569" s="189"/>
      <c r="C569" s="189"/>
      <c r="D569" s="189"/>
      <c r="E569" s="189"/>
      <c r="F569" s="189"/>
      <c r="G569" s="189"/>
      <c r="H569" s="189"/>
      <c r="I569" s="5"/>
      <c r="J569" s="6"/>
      <c r="K569" s="5"/>
      <c r="L569" s="189"/>
      <c r="M569" s="189"/>
      <c r="N569" s="189"/>
      <c r="O569" s="190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  <c r="AA569" s="185"/>
      <c r="AB569" s="185"/>
      <c r="AC569" s="185"/>
    </row>
    <row r="570" spans="1:29" ht="15.75" customHeight="1">
      <c r="A570" s="185"/>
      <c r="B570" s="189"/>
      <c r="C570" s="189"/>
      <c r="D570" s="189"/>
      <c r="E570" s="189"/>
      <c r="F570" s="189"/>
      <c r="G570" s="189"/>
      <c r="H570" s="189"/>
      <c r="I570" s="5"/>
      <c r="J570" s="6"/>
      <c r="K570" s="5"/>
      <c r="L570" s="189"/>
      <c r="M570" s="189"/>
      <c r="N570" s="189"/>
      <c r="O570" s="190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  <c r="AA570" s="185"/>
      <c r="AB570" s="185"/>
      <c r="AC570" s="185"/>
    </row>
    <row r="571" spans="1:29" ht="15.75" customHeight="1">
      <c r="A571" s="185"/>
      <c r="B571" s="189"/>
      <c r="C571" s="189"/>
      <c r="D571" s="189"/>
      <c r="E571" s="189"/>
      <c r="F571" s="189"/>
      <c r="G571" s="189"/>
      <c r="H571" s="189"/>
      <c r="I571" s="5"/>
      <c r="J571" s="6"/>
      <c r="K571" s="5"/>
      <c r="L571" s="189"/>
      <c r="M571" s="189"/>
      <c r="N571" s="189"/>
      <c r="O571" s="190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  <c r="AA571" s="185"/>
      <c r="AB571" s="185"/>
      <c r="AC571" s="185"/>
    </row>
    <row r="572" spans="1:29" ht="15.75" customHeight="1">
      <c r="A572" s="185"/>
      <c r="B572" s="189"/>
      <c r="C572" s="189"/>
      <c r="D572" s="189"/>
      <c r="E572" s="189"/>
      <c r="F572" s="189"/>
      <c r="G572" s="189"/>
      <c r="H572" s="189"/>
      <c r="I572" s="5"/>
      <c r="J572" s="6"/>
      <c r="K572" s="5"/>
      <c r="L572" s="189"/>
      <c r="M572" s="189"/>
      <c r="N572" s="189"/>
      <c r="O572" s="190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  <c r="AA572" s="185"/>
      <c r="AB572" s="185"/>
      <c r="AC572" s="185"/>
    </row>
    <row r="573" spans="1:29" ht="15.75" customHeight="1">
      <c r="A573" s="185"/>
      <c r="B573" s="189"/>
      <c r="C573" s="189"/>
      <c r="D573" s="189"/>
      <c r="E573" s="189"/>
      <c r="F573" s="189"/>
      <c r="G573" s="189"/>
      <c r="H573" s="189"/>
      <c r="I573" s="5"/>
      <c r="J573" s="6"/>
      <c r="K573" s="5"/>
      <c r="L573" s="189"/>
      <c r="M573" s="189"/>
      <c r="N573" s="189"/>
      <c r="O573" s="190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  <c r="AA573" s="185"/>
      <c r="AB573" s="185"/>
      <c r="AC573" s="185"/>
    </row>
    <row r="574" spans="1:29" ht="15.75" customHeight="1">
      <c r="A574" s="185"/>
      <c r="B574" s="189"/>
      <c r="C574" s="189"/>
      <c r="D574" s="189"/>
      <c r="E574" s="189"/>
      <c r="F574" s="189"/>
      <c r="G574" s="189"/>
      <c r="H574" s="189"/>
      <c r="I574" s="5"/>
      <c r="J574" s="6"/>
      <c r="K574" s="5"/>
      <c r="L574" s="189"/>
      <c r="M574" s="189"/>
      <c r="N574" s="189"/>
      <c r="O574" s="190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  <c r="AA574" s="185"/>
      <c r="AB574" s="185"/>
      <c r="AC574" s="185"/>
    </row>
    <row r="575" spans="1:29" ht="15.75" customHeight="1">
      <c r="A575" s="185"/>
      <c r="B575" s="189"/>
      <c r="C575" s="189"/>
      <c r="D575" s="189"/>
      <c r="E575" s="189"/>
      <c r="F575" s="189"/>
      <c r="G575" s="189"/>
      <c r="H575" s="189"/>
      <c r="I575" s="5"/>
      <c r="J575" s="6"/>
      <c r="K575" s="5"/>
      <c r="L575" s="189"/>
      <c r="M575" s="189"/>
      <c r="N575" s="189"/>
      <c r="O575" s="190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  <c r="AA575" s="185"/>
      <c r="AB575" s="185"/>
      <c r="AC575" s="185"/>
    </row>
    <row r="576" spans="1:29" ht="15.75" customHeight="1">
      <c r="A576" s="185"/>
      <c r="B576" s="189"/>
      <c r="C576" s="189"/>
      <c r="D576" s="189"/>
      <c r="E576" s="189"/>
      <c r="F576" s="189"/>
      <c r="G576" s="189"/>
      <c r="H576" s="189"/>
      <c r="I576" s="5"/>
      <c r="J576" s="6"/>
      <c r="K576" s="5"/>
      <c r="L576" s="189"/>
      <c r="M576" s="189"/>
      <c r="N576" s="189"/>
      <c r="O576" s="190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  <c r="AA576" s="185"/>
      <c r="AB576" s="185"/>
      <c r="AC576" s="185"/>
    </row>
    <row r="577" spans="1:29" ht="15.75" customHeight="1">
      <c r="A577" s="185"/>
      <c r="B577" s="189"/>
      <c r="C577" s="189"/>
      <c r="D577" s="189"/>
      <c r="E577" s="189"/>
      <c r="F577" s="189"/>
      <c r="G577" s="189"/>
      <c r="H577" s="189"/>
      <c r="I577" s="5"/>
      <c r="J577" s="6"/>
      <c r="K577" s="5"/>
      <c r="L577" s="189"/>
      <c r="M577" s="189"/>
      <c r="N577" s="189"/>
      <c r="O577" s="190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  <c r="AA577" s="185"/>
      <c r="AB577" s="185"/>
      <c r="AC577" s="185"/>
    </row>
    <row r="578" spans="1:29" ht="15.75" customHeight="1">
      <c r="A578" s="185"/>
      <c r="B578" s="189"/>
      <c r="C578" s="189"/>
      <c r="D578" s="189"/>
      <c r="E578" s="189"/>
      <c r="F578" s="189"/>
      <c r="G578" s="189"/>
      <c r="H578" s="189"/>
      <c r="I578" s="5"/>
      <c r="J578" s="6"/>
      <c r="K578" s="5"/>
      <c r="L578" s="189"/>
      <c r="M578" s="189"/>
      <c r="N578" s="189"/>
      <c r="O578" s="190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  <c r="AA578" s="185"/>
      <c r="AB578" s="185"/>
      <c r="AC578" s="185"/>
    </row>
    <row r="579" spans="1:29" ht="15.75" customHeight="1">
      <c r="A579" s="185"/>
      <c r="B579" s="189"/>
      <c r="C579" s="189"/>
      <c r="D579" s="189"/>
      <c r="E579" s="189"/>
      <c r="F579" s="189"/>
      <c r="G579" s="189"/>
      <c r="H579" s="189"/>
      <c r="I579" s="5"/>
      <c r="J579" s="6"/>
      <c r="K579" s="5"/>
      <c r="L579" s="189"/>
      <c r="M579" s="189"/>
      <c r="N579" s="189"/>
      <c r="O579" s="190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  <c r="AA579" s="185"/>
      <c r="AB579" s="185"/>
      <c r="AC579" s="185"/>
    </row>
    <row r="580" spans="1:29" ht="15.75" customHeight="1">
      <c r="A580" s="185"/>
      <c r="B580" s="189"/>
      <c r="C580" s="189"/>
      <c r="D580" s="189"/>
      <c r="E580" s="189"/>
      <c r="F580" s="189"/>
      <c r="G580" s="189"/>
      <c r="H580" s="189"/>
      <c r="I580" s="5"/>
      <c r="J580" s="6"/>
      <c r="K580" s="5"/>
      <c r="L580" s="189"/>
      <c r="M580" s="189"/>
      <c r="N580" s="189"/>
      <c r="O580" s="190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  <c r="AA580" s="185"/>
      <c r="AB580" s="185"/>
      <c r="AC580" s="185"/>
    </row>
    <row r="581" spans="1:29" ht="15.75" customHeight="1">
      <c r="A581" s="185"/>
      <c r="B581" s="189"/>
      <c r="C581" s="189"/>
      <c r="D581" s="189"/>
      <c r="E581" s="189"/>
      <c r="F581" s="189"/>
      <c r="G581" s="189"/>
      <c r="H581" s="189"/>
      <c r="I581" s="5"/>
      <c r="J581" s="6"/>
      <c r="K581" s="5"/>
      <c r="L581" s="189"/>
      <c r="M581" s="189"/>
      <c r="N581" s="189"/>
      <c r="O581" s="190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  <c r="AA581" s="185"/>
      <c r="AB581" s="185"/>
      <c r="AC581" s="185"/>
    </row>
    <row r="582" spans="1:29" ht="15.75" customHeight="1">
      <c r="A582" s="185"/>
      <c r="B582" s="189"/>
      <c r="C582" s="189"/>
      <c r="D582" s="189"/>
      <c r="E582" s="189"/>
      <c r="F582" s="189"/>
      <c r="G582" s="189"/>
      <c r="H582" s="189"/>
      <c r="I582" s="5"/>
      <c r="J582" s="6"/>
      <c r="K582" s="5"/>
      <c r="L582" s="189"/>
      <c r="M582" s="189"/>
      <c r="N582" s="189"/>
      <c r="O582" s="190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  <c r="AA582" s="185"/>
      <c r="AB582" s="185"/>
      <c r="AC582" s="185"/>
    </row>
    <row r="583" spans="1:29" ht="15.75" customHeight="1">
      <c r="A583" s="185"/>
      <c r="B583" s="189"/>
      <c r="C583" s="189"/>
      <c r="D583" s="189"/>
      <c r="E583" s="189"/>
      <c r="F583" s="189"/>
      <c r="G583" s="189"/>
      <c r="H583" s="189"/>
      <c r="I583" s="5"/>
      <c r="J583" s="6"/>
      <c r="K583" s="5"/>
      <c r="L583" s="189"/>
      <c r="M583" s="189"/>
      <c r="N583" s="189"/>
      <c r="O583" s="190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  <c r="AA583" s="185"/>
      <c r="AB583" s="185"/>
      <c r="AC583" s="185"/>
    </row>
    <row r="584" spans="1:29" ht="15.75" customHeight="1">
      <c r="A584" s="185"/>
      <c r="B584" s="189"/>
      <c r="C584" s="189"/>
      <c r="D584" s="189"/>
      <c r="E584" s="189"/>
      <c r="F584" s="189"/>
      <c r="G584" s="189"/>
      <c r="H584" s="189"/>
      <c r="I584" s="5"/>
      <c r="J584" s="6"/>
      <c r="K584" s="5"/>
      <c r="L584" s="189"/>
      <c r="M584" s="189"/>
      <c r="N584" s="189"/>
      <c r="O584" s="190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  <c r="AA584" s="185"/>
      <c r="AB584" s="185"/>
      <c r="AC584" s="185"/>
    </row>
    <row r="585" spans="1:29" ht="15.75" customHeight="1">
      <c r="A585" s="185"/>
      <c r="B585" s="189"/>
      <c r="C585" s="189"/>
      <c r="D585" s="189"/>
      <c r="E585" s="189"/>
      <c r="F585" s="189"/>
      <c r="G585" s="189"/>
      <c r="H585" s="189"/>
      <c r="I585" s="5"/>
      <c r="J585" s="6"/>
      <c r="K585" s="5"/>
      <c r="L585" s="189"/>
      <c r="M585" s="189"/>
      <c r="N585" s="189"/>
      <c r="O585" s="190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  <c r="AA585" s="185"/>
      <c r="AB585" s="185"/>
      <c r="AC585" s="185"/>
    </row>
    <row r="586" spans="1:29" ht="15.75" customHeight="1">
      <c r="A586" s="185"/>
      <c r="B586" s="189"/>
      <c r="C586" s="189"/>
      <c r="D586" s="189"/>
      <c r="E586" s="189"/>
      <c r="F586" s="189"/>
      <c r="G586" s="189"/>
      <c r="H586" s="189"/>
      <c r="I586" s="5"/>
      <c r="J586" s="6"/>
      <c r="K586" s="5"/>
      <c r="L586" s="189"/>
      <c r="M586" s="189"/>
      <c r="N586" s="189"/>
      <c r="O586" s="190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  <c r="AA586" s="185"/>
      <c r="AB586" s="185"/>
      <c r="AC586" s="185"/>
    </row>
    <row r="587" spans="1:29" ht="15.75" customHeight="1">
      <c r="A587" s="185"/>
      <c r="B587" s="189"/>
      <c r="C587" s="189"/>
      <c r="D587" s="189"/>
      <c r="E587" s="189"/>
      <c r="F587" s="189"/>
      <c r="G587" s="189"/>
      <c r="H587" s="189"/>
      <c r="I587" s="5"/>
      <c r="J587" s="6"/>
      <c r="K587" s="5"/>
      <c r="L587" s="189"/>
      <c r="M587" s="189"/>
      <c r="N587" s="189"/>
      <c r="O587" s="190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  <c r="AA587" s="185"/>
      <c r="AB587" s="185"/>
      <c r="AC587" s="185"/>
    </row>
    <row r="588" spans="1:29" ht="15.75" customHeight="1">
      <c r="A588" s="185"/>
      <c r="B588" s="189"/>
      <c r="C588" s="189"/>
      <c r="D588" s="189"/>
      <c r="E588" s="189"/>
      <c r="F588" s="189"/>
      <c r="G588" s="189"/>
      <c r="H588" s="189"/>
      <c r="I588" s="5"/>
      <c r="J588" s="6"/>
      <c r="K588" s="5"/>
      <c r="L588" s="189"/>
      <c r="M588" s="189"/>
      <c r="N588" s="189"/>
      <c r="O588" s="190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  <c r="AA588" s="185"/>
      <c r="AB588" s="185"/>
      <c r="AC588" s="185"/>
    </row>
    <row r="589" spans="1:29" ht="15.75" customHeight="1">
      <c r="A589" s="185"/>
      <c r="B589" s="189"/>
      <c r="C589" s="189"/>
      <c r="D589" s="189"/>
      <c r="E589" s="189"/>
      <c r="F589" s="189"/>
      <c r="G589" s="189"/>
      <c r="H589" s="189"/>
      <c r="I589" s="5"/>
      <c r="J589" s="6"/>
      <c r="K589" s="5"/>
      <c r="L589" s="189"/>
      <c r="M589" s="189"/>
      <c r="N589" s="189"/>
      <c r="O589" s="190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  <c r="AA589" s="185"/>
      <c r="AB589" s="185"/>
      <c r="AC589" s="185"/>
    </row>
    <row r="590" spans="1:29" ht="15.75" customHeight="1">
      <c r="A590" s="185"/>
      <c r="B590" s="189"/>
      <c r="C590" s="189"/>
      <c r="D590" s="189"/>
      <c r="E590" s="189"/>
      <c r="F590" s="189"/>
      <c r="G590" s="189"/>
      <c r="H590" s="189"/>
      <c r="I590" s="5"/>
      <c r="J590" s="6"/>
      <c r="K590" s="5"/>
      <c r="L590" s="189"/>
      <c r="M590" s="189"/>
      <c r="N590" s="189"/>
      <c r="O590" s="190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  <c r="AA590" s="185"/>
      <c r="AB590" s="185"/>
      <c r="AC590" s="185"/>
    </row>
    <row r="591" spans="1:29" ht="15.75" customHeight="1">
      <c r="A591" s="185"/>
      <c r="B591" s="189"/>
      <c r="C591" s="189"/>
      <c r="D591" s="189"/>
      <c r="E591" s="189"/>
      <c r="F591" s="189"/>
      <c r="G591" s="189"/>
      <c r="H591" s="189"/>
      <c r="I591" s="5"/>
      <c r="J591" s="6"/>
      <c r="K591" s="5"/>
      <c r="L591" s="189"/>
      <c r="M591" s="189"/>
      <c r="N591" s="189"/>
      <c r="O591" s="190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  <c r="AA591" s="185"/>
      <c r="AB591" s="185"/>
      <c r="AC591" s="185"/>
    </row>
    <row r="592" spans="1:29" ht="15.75" customHeight="1">
      <c r="A592" s="185"/>
      <c r="B592" s="189"/>
      <c r="C592" s="189"/>
      <c r="D592" s="189"/>
      <c r="E592" s="189"/>
      <c r="F592" s="189"/>
      <c r="G592" s="189"/>
      <c r="H592" s="189"/>
      <c r="I592" s="5"/>
      <c r="J592" s="6"/>
      <c r="K592" s="5"/>
      <c r="L592" s="189"/>
      <c r="M592" s="189"/>
      <c r="N592" s="189"/>
      <c r="O592" s="190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  <c r="AA592" s="185"/>
      <c r="AB592" s="185"/>
      <c r="AC592" s="185"/>
    </row>
    <row r="593" spans="1:29" ht="15.75" customHeight="1">
      <c r="A593" s="185"/>
      <c r="B593" s="189"/>
      <c r="C593" s="189"/>
      <c r="D593" s="189"/>
      <c r="E593" s="189"/>
      <c r="F593" s="189"/>
      <c r="G593" s="189"/>
      <c r="H593" s="189"/>
      <c r="I593" s="5"/>
      <c r="J593" s="6"/>
      <c r="K593" s="5"/>
      <c r="L593" s="189"/>
      <c r="M593" s="189"/>
      <c r="N593" s="189"/>
      <c r="O593" s="190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  <c r="AA593" s="185"/>
      <c r="AB593" s="185"/>
      <c r="AC593" s="185"/>
    </row>
    <row r="594" spans="1:29" ht="15.75" customHeight="1">
      <c r="A594" s="185"/>
      <c r="B594" s="189"/>
      <c r="C594" s="189"/>
      <c r="D594" s="189"/>
      <c r="E594" s="189"/>
      <c r="F594" s="189"/>
      <c r="G594" s="189"/>
      <c r="H594" s="189"/>
      <c r="I594" s="5"/>
      <c r="J594" s="6"/>
      <c r="K594" s="5"/>
      <c r="L594" s="189"/>
      <c r="M594" s="189"/>
      <c r="N594" s="189"/>
      <c r="O594" s="190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  <c r="AA594" s="185"/>
      <c r="AB594" s="185"/>
      <c r="AC594" s="185"/>
    </row>
    <row r="595" spans="1:29" ht="15.75" customHeight="1">
      <c r="A595" s="185"/>
      <c r="B595" s="189"/>
      <c r="C595" s="189"/>
      <c r="D595" s="189"/>
      <c r="E595" s="189"/>
      <c r="F595" s="189"/>
      <c r="G595" s="189"/>
      <c r="H595" s="189"/>
      <c r="I595" s="5"/>
      <c r="J595" s="6"/>
      <c r="K595" s="5"/>
      <c r="L595" s="189"/>
      <c r="M595" s="189"/>
      <c r="N595" s="189"/>
      <c r="O595" s="190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  <c r="AA595" s="185"/>
      <c r="AB595" s="185"/>
      <c r="AC595" s="185"/>
    </row>
    <row r="596" spans="1:29" ht="15.75" customHeight="1">
      <c r="A596" s="185"/>
      <c r="B596" s="189"/>
      <c r="C596" s="189"/>
      <c r="D596" s="189"/>
      <c r="E596" s="189"/>
      <c r="F596" s="189"/>
      <c r="G596" s="189"/>
      <c r="H596" s="189"/>
      <c r="I596" s="5"/>
      <c r="J596" s="6"/>
      <c r="K596" s="5"/>
      <c r="L596" s="189"/>
      <c r="M596" s="189"/>
      <c r="N596" s="189"/>
      <c r="O596" s="190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  <c r="AA596" s="185"/>
      <c r="AB596" s="185"/>
      <c r="AC596" s="185"/>
    </row>
    <row r="597" spans="1:29" ht="15.75" customHeight="1">
      <c r="A597" s="185"/>
      <c r="B597" s="189"/>
      <c r="C597" s="189"/>
      <c r="D597" s="189"/>
      <c r="E597" s="189"/>
      <c r="F597" s="189"/>
      <c r="G597" s="189"/>
      <c r="H597" s="189"/>
      <c r="I597" s="5"/>
      <c r="J597" s="6"/>
      <c r="K597" s="5"/>
      <c r="L597" s="189"/>
      <c r="M597" s="189"/>
      <c r="N597" s="189"/>
      <c r="O597" s="190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  <c r="AA597" s="185"/>
      <c r="AB597" s="185"/>
      <c r="AC597" s="185"/>
    </row>
    <row r="598" spans="1:29" ht="15.75" customHeight="1">
      <c r="A598" s="185"/>
      <c r="B598" s="189"/>
      <c r="C598" s="189"/>
      <c r="D598" s="189"/>
      <c r="E598" s="189"/>
      <c r="F598" s="189"/>
      <c r="G598" s="189"/>
      <c r="H598" s="189"/>
      <c r="I598" s="5"/>
      <c r="J598" s="6"/>
      <c r="K598" s="5"/>
      <c r="L598" s="189"/>
      <c r="M598" s="189"/>
      <c r="N598" s="189"/>
      <c r="O598" s="190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  <c r="AA598" s="185"/>
      <c r="AB598" s="185"/>
      <c r="AC598" s="185"/>
    </row>
    <row r="599" spans="1:29" ht="15.75" customHeight="1">
      <c r="A599" s="185"/>
      <c r="B599" s="189"/>
      <c r="C599" s="189"/>
      <c r="D599" s="189"/>
      <c r="E599" s="189"/>
      <c r="F599" s="189"/>
      <c r="G599" s="189"/>
      <c r="H599" s="189"/>
      <c r="I599" s="5"/>
      <c r="J599" s="6"/>
      <c r="K599" s="5"/>
      <c r="L599" s="189"/>
      <c r="M599" s="189"/>
      <c r="N599" s="189"/>
      <c r="O599" s="190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  <c r="AA599" s="185"/>
      <c r="AB599" s="185"/>
      <c r="AC599" s="185"/>
    </row>
    <row r="600" spans="1:29" ht="15.75" customHeight="1">
      <c r="A600" s="185"/>
      <c r="B600" s="189"/>
      <c r="C600" s="189"/>
      <c r="D600" s="189"/>
      <c r="E600" s="189"/>
      <c r="F600" s="189"/>
      <c r="G600" s="189"/>
      <c r="H600" s="189"/>
      <c r="I600" s="5"/>
      <c r="J600" s="6"/>
      <c r="K600" s="5"/>
      <c r="L600" s="189"/>
      <c r="M600" s="189"/>
      <c r="N600" s="189"/>
      <c r="O600" s="190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  <c r="AA600" s="185"/>
      <c r="AB600" s="185"/>
      <c r="AC600" s="185"/>
    </row>
    <row r="601" spans="1:29" ht="15.75" customHeight="1">
      <c r="A601" s="185"/>
      <c r="B601" s="189"/>
      <c r="C601" s="189"/>
      <c r="D601" s="189"/>
      <c r="E601" s="189"/>
      <c r="F601" s="189"/>
      <c r="G601" s="189"/>
      <c r="H601" s="189"/>
      <c r="I601" s="5"/>
      <c r="J601" s="6"/>
      <c r="K601" s="5"/>
      <c r="L601" s="189"/>
      <c r="M601" s="189"/>
      <c r="N601" s="189"/>
      <c r="O601" s="190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  <c r="AA601" s="185"/>
      <c r="AB601" s="185"/>
      <c r="AC601" s="185"/>
    </row>
    <row r="602" spans="1:29" ht="15.75" customHeight="1">
      <c r="A602" s="185"/>
      <c r="B602" s="189"/>
      <c r="C602" s="189"/>
      <c r="D602" s="189"/>
      <c r="E602" s="189"/>
      <c r="F602" s="189"/>
      <c r="G602" s="189"/>
      <c r="H602" s="189"/>
      <c r="I602" s="5"/>
      <c r="J602" s="6"/>
      <c r="K602" s="5"/>
      <c r="L602" s="189"/>
      <c r="M602" s="189"/>
      <c r="N602" s="189"/>
      <c r="O602" s="190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  <c r="AA602" s="185"/>
      <c r="AB602" s="185"/>
      <c r="AC602" s="185"/>
    </row>
    <row r="603" spans="1:29" ht="15.75" customHeight="1">
      <c r="A603" s="185"/>
      <c r="B603" s="189"/>
      <c r="C603" s="189"/>
      <c r="D603" s="189"/>
      <c r="E603" s="189"/>
      <c r="F603" s="189"/>
      <c r="G603" s="189"/>
      <c r="H603" s="189"/>
      <c r="I603" s="5"/>
      <c r="J603" s="6"/>
      <c r="K603" s="5"/>
      <c r="L603" s="189"/>
      <c r="M603" s="189"/>
      <c r="N603" s="189"/>
      <c r="O603" s="190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  <c r="AA603" s="185"/>
      <c r="AB603" s="185"/>
      <c r="AC603" s="185"/>
    </row>
    <row r="604" spans="1:29" ht="15.75" customHeight="1">
      <c r="A604" s="185"/>
      <c r="B604" s="189"/>
      <c r="C604" s="189"/>
      <c r="D604" s="189"/>
      <c r="E604" s="189"/>
      <c r="F604" s="189"/>
      <c r="G604" s="189"/>
      <c r="H604" s="189"/>
      <c r="I604" s="5"/>
      <c r="J604" s="6"/>
      <c r="K604" s="5"/>
      <c r="L604" s="189"/>
      <c r="M604" s="189"/>
      <c r="N604" s="189"/>
      <c r="O604" s="190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  <c r="AA604" s="185"/>
      <c r="AB604" s="185"/>
      <c r="AC604" s="185"/>
    </row>
    <row r="605" spans="1:29" ht="15.75" customHeight="1">
      <c r="A605" s="185"/>
      <c r="B605" s="189"/>
      <c r="C605" s="189"/>
      <c r="D605" s="189"/>
      <c r="E605" s="189"/>
      <c r="F605" s="189"/>
      <c r="G605" s="189"/>
      <c r="H605" s="189"/>
      <c r="I605" s="5"/>
      <c r="J605" s="6"/>
      <c r="K605" s="5"/>
      <c r="L605" s="189"/>
      <c r="M605" s="189"/>
      <c r="N605" s="189"/>
      <c r="O605" s="190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  <c r="AA605" s="185"/>
      <c r="AB605" s="185"/>
      <c r="AC605" s="185"/>
    </row>
    <row r="606" spans="1:29" ht="15.75" customHeight="1">
      <c r="A606" s="185"/>
      <c r="B606" s="189"/>
      <c r="C606" s="189"/>
      <c r="D606" s="189"/>
      <c r="E606" s="189"/>
      <c r="F606" s="189"/>
      <c r="G606" s="189"/>
      <c r="H606" s="189"/>
      <c r="I606" s="5"/>
      <c r="J606" s="6"/>
      <c r="K606" s="5"/>
      <c r="L606" s="189"/>
      <c r="M606" s="189"/>
      <c r="N606" s="189"/>
      <c r="O606" s="190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  <c r="AA606" s="185"/>
      <c r="AB606" s="185"/>
      <c r="AC606" s="185"/>
    </row>
    <row r="607" spans="1:29" ht="15.75" customHeight="1">
      <c r="A607" s="185"/>
      <c r="B607" s="189"/>
      <c r="C607" s="189"/>
      <c r="D607" s="189"/>
      <c r="E607" s="189"/>
      <c r="F607" s="189"/>
      <c r="G607" s="189"/>
      <c r="H607" s="189"/>
      <c r="I607" s="5"/>
      <c r="J607" s="6"/>
      <c r="K607" s="5"/>
      <c r="L607" s="189"/>
      <c r="M607" s="189"/>
      <c r="N607" s="189"/>
      <c r="O607" s="190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  <c r="AA607" s="185"/>
      <c r="AB607" s="185"/>
      <c r="AC607" s="185"/>
    </row>
    <row r="608" spans="1:29" ht="15.75" customHeight="1">
      <c r="A608" s="185"/>
      <c r="B608" s="189"/>
      <c r="C608" s="189"/>
      <c r="D608" s="189"/>
      <c r="E608" s="189"/>
      <c r="F608" s="189"/>
      <c r="G608" s="189"/>
      <c r="H608" s="189"/>
      <c r="I608" s="5"/>
      <c r="J608" s="6"/>
      <c r="K608" s="5"/>
      <c r="L608" s="189"/>
      <c r="M608" s="189"/>
      <c r="N608" s="189"/>
      <c r="O608" s="190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  <c r="AA608" s="185"/>
      <c r="AB608" s="185"/>
      <c r="AC608" s="185"/>
    </row>
    <row r="609" spans="1:29" ht="15.75" customHeight="1">
      <c r="A609" s="185"/>
      <c r="B609" s="189"/>
      <c r="C609" s="189"/>
      <c r="D609" s="189"/>
      <c r="E609" s="189"/>
      <c r="F609" s="189"/>
      <c r="G609" s="189"/>
      <c r="H609" s="189"/>
      <c r="I609" s="5"/>
      <c r="J609" s="6"/>
      <c r="K609" s="5"/>
      <c r="L609" s="189"/>
      <c r="M609" s="189"/>
      <c r="N609" s="189"/>
      <c r="O609" s="190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  <c r="AA609" s="185"/>
      <c r="AB609" s="185"/>
      <c r="AC609" s="185"/>
    </row>
    <row r="610" spans="1:29" ht="15.75" customHeight="1">
      <c r="A610" s="185"/>
      <c r="B610" s="189"/>
      <c r="C610" s="189"/>
      <c r="D610" s="189"/>
      <c r="E610" s="189"/>
      <c r="F610" s="189"/>
      <c r="G610" s="189"/>
      <c r="H610" s="189"/>
      <c r="I610" s="5"/>
      <c r="J610" s="6"/>
      <c r="K610" s="5"/>
      <c r="L610" s="189"/>
      <c r="M610" s="189"/>
      <c r="N610" s="189"/>
      <c r="O610" s="190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  <c r="AA610" s="185"/>
      <c r="AB610" s="185"/>
      <c r="AC610" s="185"/>
    </row>
    <row r="611" spans="1:29" ht="15.75" customHeight="1">
      <c r="A611" s="185"/>
      <c r="B611" s="189"/>
      <c r="C611" s="189"/>
      <c r="D611" s="189"/>
      <c r="E611" s="189"/>
      <c r="F611" s="189"/>
      <c r="G611" s="189"/>
      <c r="H611" s="189"/>
      <c r="I611" s="5"/>
      <c r="J611" s="6"/>
      <c r="K611" s="5"/>
      <c r="L611" s="189"/>
      <c r="M611" s="189"/>
      <c r="N611" s="189"/>
      <c r="O611" s="190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  <c r="AA611" s="185"/>
      <c r="AB611" s="185"/>
      <c r="AC611" s="185"/>
    </row>
    <row r="612" spans="1:29" ht="15.75" customHeight="1">
      <c r="A612" s="185"/>
      <c r="B612" s="189"/>
      <c r="C612" s="189"/>
      <c r="D612" s="189"/>
      <c r="E612" s="189"/>
      <c r="F612" s="189"/>
      <c r="G612" s="189"/>
      <c r="H612" s="189"/>
      <c r="I612" s="5"/>
      <c r="J612" s="6"/>
      <c r="K612" s="5"/>
      <c r="L612" s="189"/>
      <c r="M612" s="189"/>
      <c r="N612" s="189"/>
      <c r="O612" s="190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  <c r="AA612" s="185"/>
      <c r="AB612" s="185"/>
      <c r="AC612" s="185"/>
    </row>
    <row r="613" spans="1:29" ht="15.75" customHeight="1">
      <c r="A613" s="185"/>
      <c r="B613" s="189"/>
      <c r="C613" s="189"/>
      <c r="D613" s="189"/>
      <c r="E613" s="189"/>
      <c r="F613" s="189"/>
      <c r="G613" s="189"/>
      <c r="H613" s="189"/>
      <c r="I613" s="5"/>
      <c r="J613" s="6"/>
      <c r="K613" s="5"/>
      <c r="L613" s="189"/>
      <c r="M613" s="189"/>
      <c r="N613" s="189"/>
      <c r="O613" s="190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  <c r="AA613" s="185"/>
      <c r="AB613" s="185"/>
      <c r="AC613" s="185"/>
    </row>
    <row r="614" spans="1:29" ht="15.75" customHeight="1">
      <c r="A614" s="185"/>
      <c r="B614" s="189"/>
      <c r="C614" s="189"/>
      <c r="D614" s="189"/>
      <c r="E614" s="189"/>
      <c r="F614" s="189"/>
      <c r="G614" s="189"/>
      <c r="H614" s="189"/>
      <c r="I614" s="5"/>
      <c r="J614" s="6"/>
      <c r="K614" s="5"/>
      <c r="L614" s="189"/>
      <c r="M614" s="189"/>
      <c r="N614" s="189"/>
      <c r="O614" s="190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  <c r="AA614" s="185"/>
      <c r="AB614" s="185"/>
      <c r="AC614" s="185"/>
    </row>
    <row r="615" spans="1:29" ht="15.75" customHeight="1">
      <c r="A615" s="185"/>
      <c r="B615" s="189"/>
      <c r="C615" s="189"/>
      <c r="D615" s="189"/>
      <c r="E615" s="189"/>
      <c r="F615" s="189"/>
      <c r="G615" s="189"/>
      <c r="H615" s="189"/>
      <c r="I615" s="5"/>
      <c r="J615" s="6"/>
      <c r="K615" s="5"/>
      <c r="L615" s="189"/>
      <c r="M615" s="189"/>
      <c r="N615" s="189"/>
      <c r="O615" s="190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  <c r="AA615" s="185"/>
      <c r="AB615" s="185"/>
      <c r="AC615" s="185"/>
    </row>
    <row r="616" spans="1:29" ht="15.75" customHeight="1">
      <c r="A616" s="185"/>
      <c r="B616" s="189"/>
      <c r="C616" s="189"/>
      <c r="D616" s="189"/>
      <c r="E616" s="189"/>
      <c r="F616" s="189"/>
      <c r="G616" s="189"/>
      <c r="H616" s="189"/>
      <c r="I616" s="5"/>
      <c r="J616" s="6"/>
      <c r="K616" s="5"/>
      <c r="L616" s="189"/>
      <c r="M616" s="189"/>
      <c r="N616" s="189"/>
      <c r="O616" s="190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  <c r="AA616" s="185"/>
      <c r="AB616" s="185"/>
      <c r="AC616" s="185"/>
    </row>
    <row r="617" spans="1:29" ht="15.75" customHeight="1">
      <c r="A617" s="185"/>
      <c r="B617" s="189"/>
      <c r="C617" s="189"/>
      <c r="D617" s="189"/>
      <c r="E617" s="189"/>
      <c r="F617" s="189"/>
      <c r="G617" s="189"/>
      <c r="H617" s="189"/>
      <c r="I617" s="5"/>
      <c r="J617" s="6"/>
      <c r="K617" s="5"/>
      <c r="L617" s="189"/>
      <c r="M617" s="189"/>
      <c r="N617" s="189"/>
      <c r="O617" s="190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  <c r="AA617" s="185"/>
      <c r="AB617" s="185"/>
      <c r="AC617" s="185"/>
    </row>
    <row r="618" spans="1:29" ht="15.75" customHeight="1">
      <c r="A618" s="185"/>
      <c r="B618" s="189"/>
      <c r="C618" s="189"/>
      <c r="D618" s="189"/>
      <c r="E618" s="189"/>
      <c r="F618" s="189"/>
      <c r="G618" s="189"/>
      <c r="H618" s="189"/>
      <c r="I618" s="5"/>
      <c r="J618" s="6"/>
      <c r="K618" s="5"/>
      <c r="L618" s="189"/>
      <c r="M618" s="189"/>
      <c r="N618" s="189"/>
      <c r="O618" s="190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  <c r="AA618" s="185"/>
      <c r="AB618" s="185"/>
      <c r="AC618" s="185"/>
    </row>
    <row r="619" spans="1:29" ht="15.75" customHeight="1">
      <c r="A619" s="185"/>
      <c r="B619" s="189"/>
      <c r="C619" s="189"/>
      <c r="D619" s="189"/>
      <c r="E619" s="189"/>
      <c r="F619" s="189"/>
      <c r="G619" s="189"/>
      <c r="H619" s="189"/>
      <c r="I619" s="5"/>
      <c r="J619" s="6"/>
      <c r="K619" s="5"/>
      <c r="L619" s="189"/>
      <c r="M619" s="189"/>
      <c r="N619" s="189"/>
      <c r="O619" s="190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  <c r="AA619" s="185"/>
      <c r="AB619" s="185"/>
      <c r="AC619" s="185"/>
    </row>
    <row r="620" spans="1:29" ht="15.75" customHeight="1">
      <c r="A620" s="185"/>
      <c r="B620" s="189"/>
      <c r="C620" s="189"/>
      <c r="D620" s="189"/>
      <c r="E620" s="189"/>
      <c r="F620" s="189"/>
      <c r="G620" s="189"/>
      <c r="H620" s="189"/>
      <c r="I620" s="5"/>
      <c r="J620" s="6"/>
      <c r="K620" s="5"/>
      <c r="L620" s="189"/>
      <c r="M620" s="189"/>
      <c r="N620" s="189"/>
      <c r="O620" s="190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  <c r="AA620" s="185"/>
      <c r="AB620" s="185"/>
      <c r="AC620" s="185"/>
    </row>
    <row r="621" spans="1:29" ht="15.75" customHeight="1">
      <c r="A621" s="185"/>
      <c r="B621" s="189"/>
      <c r="C621" s="189"/>
      <c r="D621" s="189"/>
      <c r="E621" s="189"/>
      <c r="F621" s="189"/>
      <c r="G621" s="189"/>
      <c r="H621" s="189"/>
      <c r="I621" s="5"/>
      <c r="J621" s="6"/>
      <c r="K621" s="5"/>
      <c r="L621" s="189"/>
      <c r="M621" s="189"/>
      <c r="N621" s="189"/>
      <c r="O621" s="190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  <c r="AA621" s="185"/>
      <c r="AB621" s="185"/>
      <c r="AC621" s="185"/>
    </row>
    <row r="622" spans="1:29" ht="15.75" customHeight="1">
      <c r="A622" s="185"/>
      <c r="B622" s="189"/>
      <c r="C622" s="189"/>
      <c r="D622" s="189"/>
      <c r="E622" s="189"/>
      <c r="F622" s="189"/>
      <c r="G622" s="189"/>
      <c r="H622" s="189"/>
      <c r="I622" s="5"/>
      <c r="J622" s="6"/>
      <c r="K622" s="5"/>
      <c r="L622" s="189"/>
      <c r="M622" s="189"/>
      <c r="N622" s="189"/>
      <c r="O622" s="190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  <c r="AA622" s="185"/>
      <c r="AB622" s="185"/>
      <c r="AC622" s="185"/>
    </row>
    <row r="623" spans="1:29" ht="15.75" customHeight="1">
      <c r="A623" s="185"/>
      <c r="B623" s="189"/>
      <c r="C623" s="189"/>
      <c r="D623" s="189"/>
      <c r="E623" s="189"/>
      <c r="F623" s="189"/>
      <c r="G623" s="189"/>
      <c r="H623" s="189"/>
      <c r="I623" s="5"/>
      <c r="J623" s="6"/>
      <c r="K623" s="5"/>
      <c r="L623" s="189"/>
      <c r="M623" s="189"/>
      <c r="N623" s="189"/>
      <c r="O623" s="190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  <c r="AA623" s="185"/>
      <c r="AB623" s="185"/>
      <c r="AC623" s="185"/>
    </row>
    <row r="624" spans="1:29" ht="15.75" customHeight="1">
      <c r="A624" s="185"/>
      <c r="B624" s="189"/>
      <c r="C624" s="189"/>
      <c r="D624" s="189"/>
      <c r="E624" s="189"/>
      <c r="F624" s="189"/>
      <c r="G624" s="189"/>
      <c r="H624" s="189"/>
      <c r="I624" s="5"/>
      <c r="J624" s="6"/>
      <c r="K624" s="5"/>
      <c r="L624" s="189"/>
      <c r="M624" s="189"/>
      <c r="N624" s="189"/>
      <c r="O624" s="190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  <c r="AA624" s="185"/>
      <c r="AB624" s="185"/>
      <c r="AC624" s="185"/>
    </row>
    <row r="625" spans="1:29" ht="15.75" customHeight="1">
      <c r="A625" s="185"/>
      <c r="B625" s="189"/>
      <c r="C625" s="189"/>
      <c r="D625" s="189"/>
      <c r="E625" s="189"/>
      <c r="F625" s="189"/>
      <c r="G625" s="189"/>
      <c r="H625" s="189"/>
      <c r="I625" s="5"/>
      <c r="J625" s="6"/>
      <c r="K625" s="5"/>
      <c r="L625" s="189"/>
      <c r="M625" s="189"/>
      <c r="N625" s="189"/>
      <c r="O625" s="190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  <c r="AA625" s="185"/>
      <c r="AB625" s="185"/>
      <c r="AC625" s="185"/>
    </row>
    <row r="626" spans="1:29" ht="15.75" customHeight="1">
      <c r="A626" s="185"/>
      <c r="B626" s="189"/>
      <c r="C626" s="189"/>
      <c r="D626" s="189"/>
      <c r="E626" s="189"/>
      <c r="F626" s="189"/>
      <c r="G626" s="189"/>
      <c r="H626" s="189"/>
      <c r="I626" s="5"/>
      <c r="J626" s="6"/>
      <c r="K626" s="5"/>
      <c r="L626" s="189"/>
      <c r="M626" s="189"/>
      <c r="N626" s="189"/>
      <c r="O626" s="190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  <c r="AA626" s="185"/>
      <c r="AB626" s="185"/>
      <c r="AC626" s="185"/>
    </row>
    <row r="627" spans="1:29" ht="15.75" customHeight="1">
      <c r="A627" s="185"/>
      <c r="B627" s="189"/>
      <c r="C627" s="189"/>
      <c r="D627" s="189"/>
      <c r="E627" s="189"/>
      <c r="F627" s="189"/>
      <c r="G627" s="189"/>
      <c r="H627" s="189"/>
      <c r="I627" s="5"/>
      <c r="J627" s="6"/>
      <c r="K627" s="5"/>
      <c r="L627" s="189"/>
      <c r="M627" s="189"/>
      <c r="N627" s="189"/>
      <c r="O627" s="190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  <c r="AA627" s="185"/>
      <c r="AB627" s="185"/>
      <c r="AC627" s="185"/>
    </row>
    <row r="628" spans="1:29" ht="15.75" customHeight="1">
      <c r="A628" s="185"/>
      <c r="B628" s="189"/>
      <c r="C628" s="189"/>
      <c r="D628" s="189"/>
      <c r="E628" s="189"/>
      <c r="F628" s="189"/>
      <c r="G628" s="189"/>
      <c r="H628" s="189"/>
      <c r="I628" s="5"/>
      <c r="J628" s="6"/>
      <c r="K628" s="5"/>
      <c r="L628" s="189"/>
      <c r="M628" s="189"/>
      <c r="N628" s="189"/>
      <c r="O628" s="190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  <c r="AA628" s="185"/>
      <c r="AB628" s="185"/>
      <c r="AC628" s="185"/>
    </row>
    <row r="629" spans="1:29" ht="15.75" customHeight="1">
      <c r="A629" s="185"/>
      <c r="B629" s="189"/>
      <c r="C629" s="189"/>
      <c r="D629" s="189"/>
      <c r="E629" s="189"/>
      <c r="F629" s="189"/>
      <c r="G629" s="189"/>
      <c r="H629" s="189"/>
      <c r="I629" s="5"/>
      <c r="J629" s="6"/>
      <c r="K629" s="5"/>
      <c r="L629" s="189"/>
      <c r="M629" s="189"/>
      <c r="N629" s="189"/>
      <c r="O629" s="190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  <c r="AA629" s="185"/>
      <c r="AB629" s="185"/>
      <c r="AC629" s="185"/>
    </row>
    <row r="630" spans="1:29" ht="15.75" customHeight="1">
      <c r="A630" s="185"/>
      <c r="B630" s="189"/>
      <c r="C630" s="189"/>
      <c r="D630" s="189"/>
      <c r="E630" s="189"/>
      <c r="F630" s="189"/>
      <c r="G630" s="189"/>
      <c r="H630" s="189"/>
      <c r="I630" s="5"/>
      <c r="J630" s="6"/>
      <c r="K630" s="5"/>
      <c r="L630" s="189"/>
      <c r="M630" s="189"/>
      <c r="N630" s="189"/>
      <c r="O630" s="190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  <c r="AA630" s="185"/>
      <c r="AB630" s="185"/>
      <c r="AC630" s="185"/>
    </row>
    <row r="631" spans="1:29" ht="15.75" customHeight="1">
      <c r="A631" s="185"/>
      <c r="B631" s="189"/>
      <c r="C631" s="189"/>
      <c r="D631" s="189"/>
      <c r="E631" s="189"/>
      <c r="F631" s="189"/>
      <c r="G631" s="189"/>
      <c r="H631" s="189"/>
      <c r="I631" s="5"/>
      <c r="J631" s="6"/>
      <c r="K631" s="5"/>
      <c r="L631" s="189"/>
      <c r="M631" s="189"/>
      <c r="N631" s="189"/>
      <c r="O631" s="190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  <c r="AA631" s="185"/>
      <c r="AB631" s="185"/>
      <c r="AC631" s="185"/>
    </row>
    <row r="632" spans="1:29" ht="15.75" customHeight="1">
      <c r="A632" s="185"/>
      <c r="B632" s="189"/>
      <c r="C632" s="189"/>
      <c r="D632" s="189"/>
      <c r="E632" s="189"/>
      <c r="F632" s="189"/>
      <c r="G632" s="189"/>
      <c r="H632" s="189"/>
      <c r="I632" s="5"/>
      <c r="J632" s="6"/>
      <c r="K632" s="5"/>
      <c r="L632" s="189"/>
      <c r="M632" s="189"/>
      <c r="N632" s="189"/>
      <c r="O632" s="190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  <c r="AA632" s="185"/>
      <c r="AB632" s="185"/>
      <c r="AC632" s="185"/>
    </row>
    <row r="633" spans="1:29" ht="15.75" customHeight="1">
      <c r="A633" s="185"/>
      <c r="B633" s="189"/>
      <c r="C633" s="189"/>
      <c r="D633" s="189"/>
      <c r="E633" s="189"/>
      <c r="F633" s="189"/>
      <c r="G633" s="189"/>
      <c r="H633" s="189"/>
      <c r="I633" s="5"/>
      <c r="J633" s="6"/>
      <c r="K633" s="5"/>
      <c r="L633" s="189"/>
      <c r="M633" s="189"/>
      <c r="N633" s="189"/>
      <c r="O633" s="190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  <c r="AA633" s="185"/>
      <c r="AB633" s="185"/>
      <c r="AC633" s="185"/>
    </row>
    <row r="634" spans="1:29" ht="15.75" customHeight="1">
      <c r="A634" s="185"/>
      <c r="B634" s="189"/>
      <c r="C634" s="189"/>
      <c r="D634" s="189"/>
      <c r="E634" s="189"/>
      <c r="F634" s="189"/>
      <c r="G634" s="189"/>
      <c r="H634" s="189"/>
      <c r="I634" s="5"/>
      <c r="J634" s="6"/>
      <c r="K634" s="5"/>
      <c r="L634" s="189"/>
      <c r="M634" s="189"/>
      <c r="N634" s="189"/>
      <c r="O634" s="190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  <c r="AA634" s="185"/>
      <c r="AB634" s="185"/>
      <c r="AC634" s="185"/>
    </row>
    <row r="635" spans="1:29" ht="15.75" customHeight="1">
      <c r="A635" s="185"/>
      <c r="B635" s="189"/>
      <c r="C635" s="189"/>
      <c r="D635" s="189"/>
      <c r="E635" s="189"/>
      <c r="F635" s="189"/>
      <c r="G635" s="189"/>
      <c r="H635" s="189"/>
      <c r="I635" s="5"/>
      <c r="J635" s="6"/>
      <c r="K635" s="5"/>
      <c r="L635" s="189"/>
      <c r="M635" s="189"/>
      <c r="N635" s="189"/>
      <c r="O635" s="190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  <c r="AA635" s="185"/>
      <c r="AB635" s="185"/>
      <c r="AC635" s="185"/>
    </row>
    <row r="636" spans="1:29" ht="15.75" customHeight="1">
      <c r="A636" s="185"/>
      <c r="B636" s="189"/>
      <c r="C636" s="189"/>
      <c r="D636" s="189"/>
      <c r="E636" s="189"/>
      <c r="F636" s="189"/>
      <c r="G636" s="189"/>
      <c r="H636" s="189"/>
      <c r="I636" s="5"/>
      <c r="J636" s="6"/>
      <c r="K636" s="5"/>
      <c r="L636" s="189"/>
      <c r="M636" s="189"/>
      <c r="N636" s="189"/>
      <c r="O636" s="190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  <c r="AA636" s="185"/>
      <c r="AB636" s="185"/>
      <c r="AC636" s="185"/>
    </row>
    <row r="637" spans="1:29" ht="15.75" customHeight="1">
      <c r="A637" s="185"/>
      <c r="B637" s="189"/>
      <c r="C637" s="189"/>
      <c r="D637" s="189"/>
      <c r="E637" s="189"/>
      <c r="F637" s="189"/>
      <c r="G637" s="189"/>
      <c r="H637" s="189"/>
      <c r="I637" s="5"/>
      <c r="J637" s="6"/>
      <c r="K637" s="5"/>
      <c r="L637" s="189"/>
      <c r="M637" s="189"/>
      <c r="N637" s="189"/>
      <c r="O637" s="190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  <c r="AA637" s="185"/>
      <c r="AB637" s="185"/>
      <c r="AC637" s="185"/>
    </row>
    <row r="638" spans="1:29" ht="15.75" customHeight="1">
      <c r="A638" s="185"/>
      <c r="B638" s="189"/>
      <c r="C638" s="189"/>
      <c r="D638" s="189"/>
      <c r="E638" s="189"/>
      <c r="F638" s="189"/>
      <c r="G638" s="189"/>
      <c r="H638" s="189"/>
      <c r="I638" s="5"/>
      <c r="J638" s="6"/>
      <c r="K638" s="5"/>
      <c r="L638" s="189"/>
      <c r="M638" s="189"/>
      <c r="N638" s="189"/>
      <c r="O638" s="190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  <c r="AA638" s="185"/>
      <c r="AB638" s="185"/>
      <c r="AC638" s="185"/>
    </row>
    <row r="639" spans="1:29" ht="15.75" customHeight="1">
      <c r="A639" s="185"/>
      <c r="B639" s="189"/>
      <c r="C639" s="189"/>
      <c r="D639" s="189"/>
      <c r="E639" s="189"/>
      <c r="F639" s="189"/>
      <c r="G639" s="189"/>
      <c r="H639" s="189"/>
      <c r="I639" s="5"/>
      <c r="J639" s="6"/>
      <c r="K639" s="5"/>
      <c r="L639" s="189"/>
      <c r="M639" s="189"/>
      <c r="N639" s="189"/>
      <c r="O639" s="190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  <c r="AA639" s="185"/>
      <c r="AB639" s="185"/>
      <c r="AC639" s="185"/>
    </row>
    <row r="640" spans="1:29" ht="15.75" customHeight="1">
      <c r="A640" s="185"/>
      <c r="B640" s="189"/>
      <c r="C640" s="189"/>
      <c r="D640" s="189"/>
      <c r="E640" s="189"/>
      <c r="F640" s="189"/>
      <c r="G640" s="189"/>
      <c r="H640" s="189"/>
      <c r="I640" s="5"/>
      <c r="J640" s="6"/>
      <c r="K640" s="5"/>
      <c r="L640" s="189"/>
      <c r="M640" s="189"/>
      <c r="N640" s="189"/>
      <c r="O640" s="190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  <c r="AA640" s="185"/>
      <c r="AB640" s="185"/>
      <c r="AC640" s="185"/>
    </row>
    <row r="641" spans="1:29" ht="15.75" customHeight="1">
      <c r="A641" s="185"/>
      <c r="B641" s="189"/>
      <c r="C641" s="189"/>
      <c r="D641" s="189"/>
      <c r="E641" s="189"/>
      <c r="F641" s="189"/>
      <c r="G641" s="189"/>
      <c r="H641" s="189"/>
      <c r="I641" s="5"/>
      <c r="J641" s="6"/>
      <c r="K641" s="5"/>
      <c r="L641" s="189"/>
      <c r="M641" s="189"/>
      <c r="N641" s="189"/>
      <c r="O641" s="190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  <c r="AA641" s="185"/>
      <c r="AB641" s="185"/>
      <c r="AC641" s="185"/>
    </row>
    <row r="642" spans="1:29" ht="15.75" customHeight="1">
      <c r="A642" s="185"/>
      <c r="B642" s="189"/>
      <c r="C642" s="189"/>
      <c r="D642" s="189"/>
      <c r="E642" s="189"/>
      <c r="F642" s="189"/>
      <c r="G642" s="189"/>
      <c r="H642" s="189"/>
      <c r="I642" s="5"/>
      <c r="J642" s="6"/>
      <c r="K642" s="5"/>
      <c r="L642" s="189"/>
      <c r="M642" s="189"/>
      <c r="N642" s="189"/>
      <c r="O642" s="190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  <c r="AA642" s="185"/>
      <c r="AB642" s="185"/>
      <c r="AC642" s="185"/>
    </row>
    <row r="643" spans="1:29" ht="15.75" customHeight="1">
      <c r="A643" s="185"/>
      <c r="B643" s="189"/>
      <c r="C643" s="189"/>
      <c r="D643" s="189"/>
      <c r="E643" s="189"/>
      <c r="F643" s="189"/>
      <c r="G643" s="189"/>
      <c r="H643" s="189"/>
      <c r="I643" s="5"/>
      <c r="J643" s="6"/>
      <c r="K643" s="5"/>
      <c r="L643" s="189"/>
      <c r="M643" s="189"/>
      <c r="N643" s="189"/>
      <c r="O643" s="190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  <c r="AA643" s="185"/>
      <c r="AB643" s="185"/>
      <c r="AC643" s="185"/>
    </row>
    <row r="644" spans="1:29" ht="15.75" customHeight="1">
      <c r="A644" s="185"/>
      <c r="B644" s="189"/>
      <c r="C644" s="189"/>
      <c r="D644" s="189"/>
      <c r="E644" s="189"/>
      <c r="F644" s="189"/>
      <c r="G644" s="189"/>
      <c r="H644" s="189"/>
      <c r="I644" s="5"/>
      <c r="J644" s="6"/>
      <c r="K644" s="5"/>
      <c r="L644" s="189"/>
      <c r="M644" s="189"/>
      <c r="N644" s="189"/>
      <c r="O644" s="190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  <c r="AA644" s="185"/>
      <c r="AB644" s="185"/>
      <c r="AC644" s="185"/>
    </row>
    <row r="645" spans="1:29" ht="15.75" customHeight="1">
      <c r="A645" s="185"/>
      <c r="B645" s="189"/>
      <c r="C645" s="189"/>
      <c r="D645" s="189"/>
      <c r="E645" s="189"/>
      <c r="F645" s="189"/>
      <c r="G645" s="189"/>
      <c r="H645" s="189"/>
      <c r="I645" s="5"/>
      <c r="J645" s="6"/>
      <c r="K645" s="5"/>
      <c r="L645" s="189"/>
      <c r="M645" s="189"/>
      <c r="N645" s="189"/>
      <c r="O645" s="190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  <c r="AA645" s="185"/>
      <c r="AB645" s="185"/>
      <c r="AC645" s="185"/>
    </row>
    <row r="646" spans="1:29" ht="15.75" customHeight="1">
      <c r="A646" s="185"/>
      <c r="B646" s="189"/>
      <c r="C646" s="189"/>
      <c r="D646" s="189"/>
      <c r="E646" s="189"/>
      <c r="F646" s="189"/>
      <c r="G646" s="189"/>
      <c r="H646" s="189"/>
      <c r="I646" s="5"/>
      <c r="J646" s="6"/>
      <c r="K646" s="5"/>
      <c r="L646" s="189"/>
      <c r="M646" s="189"/>
      <c r="N646" s="189"/>
      <c r="O646" s="190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  <c r="AA646" s="185"/>
      <c r="AB646" s="185"/>
      <c r="AC646" s="185"/>
    </row>
    <row r="647" spans="1:29" ht="15.75" customHeight="1">
      <c r="A647" s="185"/>
      <c r="B647" s="189"/>
      <c r="C647" s="189"/>
      <c r="D647" s="189"/>
      <c r="E647" s="189"/>
      <c r="F647" s="189"/>
      <c r="G647" s="189"/>
      <c r="H647" s="189"/>
      <c r="I647" s="5"/>
      <c r="J647" s="6"/>
      <c r="K647" s="5"/>
      <c r="L647" s="189"/>
      <c r="M647" s="189"/>
      <c r="N647" s="189"/>
      <c r="O647" s="190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  <c r="AA647" s="185"/>
      <c r="AB647" s="185"/>
      <c r="AC647" s="185"/>
    </row>
    <row r="648" spans="1:29" ht="15.75" customHeight="1">
      <c r="A648" s="185"/>
      <c r="B648" s="189"/>
      <c r="C648" s="189"/>
      <c r="D648" s="189"/>
      <c r="E648" s="189"/>
      <c r="F648" s="189"/>
      <c r="G648" s="189"/>
      <c r="H648" s="189"/>
      <c r="I648" s="5"/>
      <c r="J648" s="6"/>
      <c r="K648" s="5"/>
      <c r="L648" s="189"/>
      <c r="M648" s="189"/>
      <c r="N648" s="189"/>
      <c r="O648" s="190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  <c r="AA648" s="185"/>
      <c r="AB648" s="185"/>
      <c r="AC648" s="185"/>
    </row>
    <row r="649" spans="1:29" ht="15.75" customHeight="1">
      <c r="A649" s="185"/>
      <c r="B649" s="189"/>
      <c r="C649" s="189"/>
      <c r="D649" s="189"/>
      <c r="E649" s="189"/>
      <c r="F649" s="189"/>
      <c r="G649" s="189"/>
      <c r="H649" s="189"/>
      <c r="I649" s="5"/>
      <c r="J649" s="6"/>
      <c r="K649" s="5"/>
      <c r="L649" s="189"/>
      <c r="M649" s="189"/>
      <c r="N649" s="189"/>
      <c r="O649" s="190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  <c r="AA649" s="185"/>
      <c r="AB649" s="185"/>
      <c r="AC649" s="185"/>
    </row>
    <row r="650" spans="1:29" ht="15.75" customHeight="1">
      <c r="A650" s="185"/>
      <c r="B650" s="189"/>
      <c r="C650" s="189"/>
      <c r="D650" s="189"/>
      <c r="E650" s="189"/>
      <c r="F650" s="189"/>
      <c r="G650" s="189"/>
      <c r="H650" s="189"/>
      <c r="I650" s="5"/>
      <c r="J650" s="6"/>
      <c r="K650" s="5"/>
      <c r="L650" s="189"/>
      <c r="M650" s="189"/>
      <c r="N650" s="189"/>
      <c r="O650" s="190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  <c r="AA650" s="185"/>
      <c r="AB650" s="185"/>
      <c r="AC650" s="185"/>
    </row>
    <row r="651" spans="1:29" ht="15.75" customHeight="1">
      <c r="A651" s="185"/>
      <c r="B651" s="189"/>
      <c r="C651" s="189"/>
      <c r="D651" s="189"/>
      <c r="E651" s="189"/>
      <c r="F651" s="189"/>
      <c r="G651" s="189"/>
      <c r="H651" s="189"/>
      <c r="I651" s="5"/>
      <c r="J651" s="6"/>
      <c r="K651" s="5"/>
      <c r="L651" s="189"/>
      <c r="M651" s="189"/>
      <c r="N651" s="189"/>
      <c r="O651" s="190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  <c r="AA651" s="185"/>
      <c r="AB651" s="185"/>
      <c r="AC651" s="185"/>
    </row>
    <row r="652" spans="1:29" ht="15.75" customHeight="1">
      <c r="A652" s="185"/>
      <c r="B652" s="189"/>
      <c r="C652" s="189"/>
      <c r="D652" s="189"/>
      <c r="E652" s="189"/>
      <c r="F652" s="189"/>
      <c r="G652" s="189"/>
      <c r="H652" s="189"/>
      <c r="I652" s="5"/>
      <c r="J652" s="6"/>
      <c r="K652" s="5"/>
      <c r="L652" s="189"/>
      <c r="M652" s="189"/>
      <c r="N652" s="189"/>
      <c r="O652" s="190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  <c r="AA652" s="185"/>
      <c r="AB652" s="185"/>
      <c r="AC652" s="185"/>
    </row>
    <row r="653" spans="1:29" ht="15.75" customHeight="1">
      <c r="A653" s="185"/>
      <c r="B653" s="189"/>
      <c r="C653" s="189"/>
      <c r="D653" s="189"/>
      <c r="E653" s="189"/>
      <c r="F653" s="189"/>
      <c r="G653" s="189"/>
      <c r="H653" s="189"/>
      <c r="I653" s="5"/>
      <c r="J653" s="6"/>
      <c r="K653" s="5"/>
      <c r="L653" s="189"/>
      <c r="M653" s="189"/>
      <c r="N653" s="189"/>
      <c r="O653" s="190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  <c r="AA653" s="185"/>
      <c r="AB653" s="185"/>
      <c r="AC653" s="185"/>
    </row>
    <row r="654" spans="1:29" ht="15.75" customHeight="1">
      <c r="A654" s="185"/>
      <c r="B654" s="189"/>
      <c r="C654" s="189"/>
      <c r="D654" s="189"/>
      <c r="E654" s="189"/>
      <c r="F654" s="189"/>
      <c r="G654" s="189"/>
      <c r="H654" s="189"/>
      <c r="I654" s="5"/>
      <c r="J654" s="6"/>
      <c r="K654" s="5"/>
      <c r="L654" s="189"/>
      <c r="M654" s="189"/>
      <c r="N654" s="189"/>
      <c r="O654" s="190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  <c r="AA654" s="185"/>
      <c r="AB654" s="185"/>
      <c r="AC654" s="185"/>
    </row>
    <row r="655" spans="1:29" ht="15.75" customHeight="1">
      <c r="A655" s="185"/>
      <c r="B655" s="189"/>
      <c r="C655" s="189"/>
      <c r="D655" s="189"/>
      <c r="E655" s="189"/>
      <c r="F655" s="189"/>
      <c r="G655" s="189"/>
      <c r="H655" s="189"/>
      <c r="I655" s="5"/>
      <c r="J655" s="6"/>
      <c r="K655" s="5"/>
      <c r="L655" s="189"/>
      <c r="M655" s="189"/>
      <c r="N655" s="189"/>
      <c r="O655" s="190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  <c r="AA655" s="185"/>
      <c r="AB655" s="185"/>
      <c r="AC655" s="185"/>
    </row>
    <row r="656" spans="1:29" ht="15.75" customHeight="1">
      <c r="A656" s="185"/>
      <c r="B656" s="189"/>
      <c r="C656" s="189"/>
      <c r="D656" s="189"/>
      <c r="E656" s="189"/>
      <c r="F656" s="189"/>
      <c r="G656" s="189"/>
      <c r="H656" s="189"/>
      <c r="I656" s="5"/>
      <c r="J656" s="6"/>
      <c r="K656" s="5"/>
      <c r="L656" s="189"/>
      <c r="M656" s="189"/>
      <c r="N656" s="189"/>
      <c r="O656" s="190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  <c r="AA656" s="185"/>
      <c r="AB656" s="185"/>
      <c r="AC656" s="185"/>
    </row>
    <row r="657" spans="1:29" ht="15.75" customHeight="1">
      <c r="A657" s="185"/>
      <c r="B657" s="189"/>
      <c r="C657" s="189"/>
      <c r="D657" s="189"/>
      <c r="E657" s="189"/>
      <c r="F657" s="189"/>
      <c r="G657" s="189"/>
      <c r="H657" s="189"/>
      <c r="I657" s="5"/>
      <c r="J657" s="6"/>
      <c r="K657" s="5"/>
      <c r="L657" s="189"/>
      <c r="M657" s="189"/>
      <c r="N657" s="189"/>
      <c r="O657" s="190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  <c r="AA657" s="185"/>
      <c r="AB657" s="185"/>
      <c r="AC657" s="185"/>
    </row>
    <row r="658" spans="1:29" ht="15.75" customHeight="1">
      <c r="A658" s="185"/>
      <c r="B658" s="189"/>
      <c r="C658" s="189"/>
      <c r="D658" s="189"/>
      <c r="E658" s="189"/>
      <c r="F658" s="189"/>
      <c r="G658" s="189"/>
      <c r="H658" s="189"/>
      <c r="I658" s="5"/>
      <c r="J658" s="6"/>
      <c r="K658" s="5"/>
      <c r="L658" s="189"/>
      <c r="M658" s="189"/>
      <c r="N658" s="189"/>
      <c r="O658" s="190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  <c r="AA658" s="185"/>
      <c r="AB658" s="185"/>
      <c r="AC658" s="185"/>
    </row>
    <row r="659" spans="1:29" ht="15.75" customHeight="1">
      <c r="A659" s="185"/>
      <c r="B659" s="189"/>
      <c r="C659" s="189"/>
      <c r="D659" s="189"/>
      <c r="E659" s="189"/>
      <c r="F659" s="189"/>
      <c r="G659" s="189"/>
      <c r="H659" s="189"/>
      <c r="I659" s="5"/>
      <c r="J659" s="6"/>
      <c r="K659" s="5"/>
      <c r="L659" s="189"/>
      <c r="M659" s="189"/>
      <c r="N659" s="189"/>
      <c r="O659" s="190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  <c r="AA659" s="185"/>
      <c r="AB659" s="185"/>
      <c r="AC659" s="185"/>
    </row>
    <row r="660" spans="1:29" ht="15.75" customHeight="1">
      <c r="A660" s="185"/>
      <c r="B660" s="189"/>
      <c r="C660" s="189"/>
      <c r="D660" s="189"/>
      <c r="E660" s="189"/>
      <c r="F660" s="189"/>
      <c r="G660" s="189"/>
      <c r="H660" s="189"/>
      <c r="I660" s="5"/>
      <c r="J660" s="6"/>
      <c r="K660" s="5"/>
      <c r="L660" s="189"/>
      <c r="M660" s="189"/>
      <c r="N660" s="189"/>
      <c r="O660" s="190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  <c r="AA660" s="185"/>
      <c r="AB660" s="185"/>
      <c r="AC660" s="185"/>
    </row>
    <row r="661" spans="1:29" ht="15.75" customHeight="1">
      <c r="A661" s="185"/>
      <c r="B661" s="189"/>
      <c r="C661" s="189"/>
      <c r="D661" s="189"/>
      <c r="E661" s="189"/>
      <c r="F661" s="189"/>
      <c r="G661" s="189"/>
      <c r="H661" s="189"/>
      <c r="I661" s="5"/>
      <c r="J661" s="6"/>
      <c r="K661" s="5"/>
      <c r="L661" s="189"/>
      <c r="M661" s="189"/>
      <c r="N661" s="189"/>
      <c r="O661" s="190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  <c r="AA661" s="185"/>
      <c r="AB661" s="185"/>
      <c r="AC661" s="185"/>
    </row>
    <row r="662" spans="1:29" ht="15.75" customHeight="1">
      <c r="A662" s="185"/>
      <c r="B662" s="189"/>
      <c r="C662" s="189"/>
      <c r="D662" s="189"/>
      <c r="E662" s="189"/>
      <c r="F662" s="189"/>
      <c r="G662" s="189"/>
      <c r="H662" s="189"/>
      <c r="I662" s="5"/>
      <c r="J662" s="6"/>
      <c r="K662" s="5"/>
      <c r="L662" s="189"/>
      <c r="M662" s="189"/>
      <c r="N662" s="189"/>
      <c r="O662" s="190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  <c r="AA662" s="185"/>
      <c r="AB662" s="185"/>
      <c r="AC662" s="185"/>
    </row>
    <row r="663" spans="1:29" ht="15.75" customHeight="1">
      <c r="A663" s="185"/>
      <c r="B663" s="189"/>
      <c r="C663" s="189"/>
      <c r="D663" s="189"/>
      <c r="E663" s="189"/>
      <c r="F663" s="189"/>
      <c r="G663" s="189"/>
      <c r="H663" s="189"/>
      <c r="I663" s="5"/>
      <c r="J663" s="6"/>
      <c r="K663" s="5"/>
      <c r="L663" s="189"/>
      <c r="M663" s="189"/>
      <c r="N663" s="189"/>
      <c r="O663" s="190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  <c r="AA663" s="185"/>
      <c r="AB663" s="185"/>
      <c r="AC663" s="185"/>
    </row>
    <row r="664" spans="1:29" ht="15.75" customHeight="1">
      <c r="A664" s="185"/>
      <c r="B664" s="189"/>
      <c r="C664" s="189"/>
      <c r="D664" s="189"/>
      <c r="E664" s="189"/>
      <c r="F664" s="189"/>
      <c r="G664" s="189"/>
      <c r="H664" s="189"/>
      <c r="I664" s="5"/>
      <c r="J664" s="6"/>
      <c r="K664" s="5"/>
      <c r="L664" s="189"/>
      <c r="M664" s="189"/>
      <c r="N664" s="189"/>
      <c r="O664" s="190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  <c r="AA664" s="185"/>
      <c r="AB664" s="185"/>
      <c r="AC664" s="185"/>
    </row>
    <row r="665" spans="1:29" ht="15.75" customHeight="1">
      <c r="A665" s="185"/>
      <c r="B665" s="189"/>
      <c r="C665" s="189"/>
      <c r="D665" s="189"/>
      <c r="E665" s="189"/>
      <c r="F665" s="189"/>
      <c r="G665" s="189"/>
      <c r="H665" s="189"/>
      <c r="I665" s="5"/>
      <c r="J665" s="6"/>
      <c r="K665" s="5"/>
      <c r="L665" s="189"/>
      <c r="M665" s="189"/>
      <c r="N665" s="189"/>
      <c r="O665" s="190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  <c r="AA665" s="185"/>
      <c r="AB665" s="185"/>
      <c r="AC665" s="185"/>
    </row>
    <row r="666" spans="1:29" ht="15.75" customHeight="1">
      <c r="A666" s="185"/>
      <c r="B666" s="189"/>
      <c r="C666" s="189"/>
      <c r="D666" s="189"/>
      <c r="E666" s="189"/>
      <c r="F666" s="189"/>
      <c r="G666" s="189"/>
      <c r="H666" s="189"/>
      <c r="I666" s="5"/>
      <c r="J666" s="6"/>
      <c r="K666" s="5"/>
      <c r="L666" s="189"/>
      <c r="M666" s="189"/>
      <c r="N666" s="189"/>
      <c r="O666" s="190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  <c r="AA666" s="185"/>
      <c r="AB666" s="185"/>
      <c r="AC666" s="185"/>
    </row>
    <row r="667" spans="1:29" ht="15.75" customHeight="1">
      <c r="A667" s="185"/>
      <c r="B667" s="189"/>
      <c r="C667" s="189"/>
      <c r="D667" s="189"/>
      <c r="E667" s="189"/>
      <c r="F667" s="189"/>
      <c r="G667" s="189"/>
      <c r="H667" s="189"/>
      <c r="I667" s="5"/>
      <c r="J667" s="6"/>
      <c r="K667" s="5"/>
      <c r="L667" s="189"/>
      <c r="M667" s="189"/>
      <c r="N667" s="189"/>
      <c r="O667" s="190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  <c r="AA667" s="185"/>
      <c r="AB667" s="185"/>
      <c r="AC667" s="185"/>
    </row>
    <row r="668" spans="1:29" ht="15.75" customHeight="1">
      <c r="A668" s="185"/>
      <c r="B668" s="189"/>
      <c r="C668" s="189"/>
      <c r="D668" s="189"/>
      <c r="E668" s="189"/>
      <c r="F668" s="189"/>
      <c r="G668" s="189"/>
      <c r="H668" s="189"/>
      <c r="I668" s="5"/>
      <c r="J668" s="6"/>
      <c r="K668" s="5"/>
      <c r="L668" s="189"/>
      <c r="M668" s="189"/>
      <c r="N668" s="189"/>
      <c r="O668" s="190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  <c r="AA668" s="185"/>
      <c r="AB668" s="185"/>
      <c r="AC668" s="185"/>
    </row>
    <row r="669" spans="1:29" ht="15.75" customHeight="1">
      <c r="A669" s="185"/>
      <c r="B669" s="189"/>
      <c r="C669" s="189"/>
      <c r="D669" s="189"/>
      <c r="E669" s="189"/>
      <c r="F669" s="189"/>
      <c r="G669" s="189"/>
      <c r="H669" s="189"/>
      <c r="I669" s="5"/>
      <c r="J669" s="6"/>
      <c r="K669" s="5"/>
      <c r="L669" s="189"/>
      <c r="M669" s="189"/>
      <c r="N669" s="189"/>
      <c r="O669" s="190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  <c r="AA669" s="185"/>
      <c r="AB669" s="185"/>
      <c r="AC669" s="185"/>
    </row>
    <row r="670" spans="1:29" ht="15.75" customHeight="1">
      <c r="A670" s="185"/>
      <c r="B670" s="189"/>
      <c r="C670" s="189"/>
      <c r="D670" s="189"/>
      <c r="E670" s="189"/>
      <c r="F670" s="189"/>
      <c r="G670" s="189"/>
      <c r="H670" s="189"/>
      <c r="I670" s="5"/>
      <c r="J670" s="6"/>
      <c r="K670" s="5"/>
      <c r="L670" s="189"/>
      <c r="M670" s="189"/>
      <c r="N670" s="189"/>
      <c r="O670" s="190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  <c r="AA670" s="185"/>
      <c r="AB670" s="185"/>
      <c r="AC670" s="185"/>
    </row>
    <row r="671" spans="1:29" ht="15.75" customHeight="1">
      <c r="A671" s="185"/>
      <c r="B671" s="189"/>
      <c r="C671" s="189"/>
      <c r="D671" s="189"/>
      <c r="E671" s="189"/>
      <c r="F671" s="189"/>
      <c r="G671" s="189"/>
      <c r="H671" s="189"/>
      <c r="I671" s="5"/>
      <c r="J671" s="6"/>
      <c r="K671" s="5"/>
      <c r="L671" s="189"/>
      <c r="M671" s="189"/>
      <c r="N671" s="189"/>
      <c r="O671" s="190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  <c r="AA671" s="185"/>
      <c r="AB671" s="185"/>
      <c r="AC671" s="185"/>
    </row>
    <row r="672" spans="1:29" ht="15.75" customHeight="1">
      <c r="A672" s="185"/>
      <c r="B672" s="189"/>
      <c r="C672" s="189"/>
      <c r="D672" s="189"/>
      <c r="E672" s="189"/>
      <c r="F672" s="189"/>
      <c r="G672" s="189"/>
      <c r="H672" s="189"/>
      <c r="I672" s="5"/>
      <c r="J672" s="6"/>
      <c r="K672" s="5"/>
      <c r="L672" s="189"/>
      <c r="M672" s="189"/>
      <c r="N672" s="189"/>
      <c r="O672" s="190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  <c r="AA672" s="185"/>
      <c r="AB672" s="185"/>
      <c r="AC672" s="185"/>
    </row>
    <row r="673" spans="1:29" ht="15.75" customHeight="1">
      <c r="A673" s="185"/>
      <c r="B673" s="189"/>
      <c r="C673" s="189"/>
      <c r="D673" s="189"/>
      <c r="E673" s="189"/>
      <c r="F673" s="189"/>
      <c r="G673" s="189"/>
      <c r="H673" s="189"/>
      <c r="I673" s="5"/>
      <c r="J673" s="6"/>
      <c r="K673" s="5"/>
      <c r="L673" s="189"/>
      <c r="M673" s="189"/>
      <c r="N673" s="189"/>
      <c r="O673" s="190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  <c r="AA673" s="185"/>
      <c r="AB673" s="185"/>
      <c r="AC673" s="185"/>
    </row>
    <row r="674" spans="1:29" ht="15.75" customHeight="1">
      <c r="A674" s="185"/>
      <c r="B674" s="189"/>
      <c r="C674" s="189"/>
      <c r="D674" s="189"/>
      <c r="E674" s="189"/>
      <c r="F674" s="189"/>
      <c r="G674" s="189"/>
      <c r="H674" s="189"/>
      <c r="I674" s="5"/>
      <c r="J674" s="6"/>
      <c r="K674" s="5"/>
      <c r="L674" s="189"/>
      <c r="M674" s="189"/>
      <c r="N674" s="189"/>
      <c r="O674" s="190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  <c r="AA674" s="185"/>
      <c r="AB674" s="185"/>
      <c r="AC674" s="185"/>
    </row>
    <row r="675" spans="1:29" ht="15.75" customHeight="1">
      <c r="A675" s="185"/>
      <c r="B675" s="189"/>
      <c r="C675" s="189"/>
      <c r="D675" s="189"/>
      <c r="E675" s="189"/>
      <c r="F675" s="189"/>
      <c r="G675" s="189"/>
      <c r="H675" s="189"/>
      <c r="I675" s="5"/>
      <c r="J675" s="6"/>
      <c r="K675" s="5"/>
      <c r="L675" s="189"/>
      <c r="M675" s="189"/>
      <c r="N675" s="189"/>
      <c r="O675" s="190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  <c r="AA675" s="185"/>
      <c r="AB675" s="185"/>
      <c r="AC675" s="185"/>
    </row>
    <row r="676" spans="1:29" ht="15.75" customHeight="1">
      <c r="A676" s="185"/>
      <c r="B676" s="189"/>
      <c r="C676" s="189"/>
      <c r="D676" s="189"/>
      <c r="E676" s="189"/>
      <c r="F676" s="189"/>
      <c r="G676" s="189"/>
      <c r="H676" s="189"/>
      <c r="I676" s="5"/>
      <c r="J676" s="6"/>
      <c r="K676" s="5"/>
      <c r="L676" s="189"/>
      <c r="M676" s="189"/>
      <c r="N676" s="189"/>
      <c r="O676" s="190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  <c r="AA676" s="185"/>
      <c r="AB676" s="185"/>
      <c r="AC676" s="185"/>
    </row>
    <row r="677" spans="1:29" ht="15.75" customHeight="1">
      <c r="A677" s="185"/>
      <c r="B677" s="189"/>
      <c r="C677" s="189"/>
      <c r="D677" s="189"/>
      <c r="E677" s="189"/>
      <c r="F677" s="189"/>
      <c r="G677" s="189"/>
      <c r="H677" s="189"/>
      <c r="I677" s="5"/>
      <c r="J677" s="6"/>
      <c r="K677" s="5"/>
      <c r="L677" s="189"/>
      <c r="M677" s="189"/>
      <c r="N677" s="189"/>
      <c r="O677" s="190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  <c r="AA677" s="185"/>
      <c r="AB677" s="185"/>
      <c r="AC677" s="185"/>
    </row>
    <row r="678" spans="1:29" ht="15.75" customHeight="1">
      <c r="A678" s="185"/>
      <c r="B678" s="189"/>
      <c r="C678" s="189"/>
      <c r="D678" s="189"/>
      <c r="E678" s="189"/>
      <c r="F678" s="189"/>
      <c r="G678" s="189"/>
      <c r="H678" s="189"/>
      <c r="I678" s="5"/>
      <c r="J678" s="6"/>
      <c r="K678" s="5"/>
      <c r="L678" s="189"/>
      <c r="M678" s="189"/>
      <c r="N678" s="189"/>
      <c r="O678" s="190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  <c r="AA678" s="185"/>
      <c r="AB678" s="185"/>
      <c r="AC678" s="185"/>
    </row>
    <row r="679" spans="1:29" ht="15.75" customHeight="1">
      <c r="A679" s="185"/>
      <c r="B679" s="189"/>
      <c r="C679" s="189"/>
      <c r="D679" s="189"/>
      <c r="E679" s="189"/>
      <c r="F679" s="189"/>
      <c r="G679" s="189"/>
      <c r="H679" s="189"/>
      <c r="I679" s="5"/>
      <c r="J679" s="6"/>
      <c r="K679" s="5"/>
      <c r="L679" s="189"/>
      <c r="M679" s="189"/>
      <c r="N679" s="189"/>
      <c r="O679" s="190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  <c r="AA679" s="185"/>
      <c r="AB679" s="185"/>
      <c r="AC679" s="185"/>
    </row>
    <row r="680" spans="1:29" ht="15.75" customHeight="1">
      <c r="A680" s="185"/>
      <c r="B680" s="189"/>
      <c r="C680" s="189"/>
      <c r="D680" s="189"/>
      <c r="E680" s="189"/>
      <c r="F680" s="189"/>
      <c r="G680" s="189"/>
      <c r="H680" s="189"/>
      <c r="I680" s="5"/>
      <c r="J680" s="6"/>
      <c r="K680" s="5"/>
      <c r="L680" s="189"/>
      <c r="M680" s="189"/>
      <c r="N680" s="189"/>
      <c r="O680" s="190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  <c r="AA680" s="185"/>
      <c r="AB680" s="185"/>
      <c r="AC680" s="185"/>
    </row>
    <row r="681" spans="1:29" ht="15.75" customHeight="1">
      <c r="A681" s="185"/>
      <c r="B681" s="189"/>
      <c r="C681" s="189"/>
      <c r="D681" s="189"/>
      <c r="E681" s="189"/>
      <c r="F681" s="189"/>
      <c r="G681" s="189"/>
      <c r="H681" s="189"/>
      <c r="I681" s="5"/>
      <c r="J681" s="6"/>
      <c r="K681" s="5"/>
      <c r="L681" s="189"/>
      <c r="M681" s="189"/>
      <c r="N681" s="189"/>
      <c r="O681" s="190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  <c r="AA681" s="185"/>
      <c r="AB681" s="185"/>
      <c r="AC681" s="185"/>
    </row>
    <row r="682" spans="1:29" ht="15.75" customHeight="1">
      <c r="A682" s="185"/>
      <c r="B682" s="189"/>
      <c r="C682" s="189"/>
      <c r="D682" s="189"/>
      <c r="E682" s="189"/>
      <c r="F682" s="189"/>
      <c r="G682" s="189"/>
      <c r="H682" s="189"/>
      <c r="I682" s="5"/>
      <c r="J682" s="6"/>
      <c r="K682" s="5"/>
      <c r="L682" s="189"/>
      <c r="M682" s="189"/>
      <c r="N682" s="189"/>
      <c r="O682" s="190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  <c r="AA682" s="185"/>
      <c r="AB682" s="185"/>
      <c r="AC682" s="185"/>
    </row>
    <row r="683" spans="1:29" ht="15.75" customHeight="1">
      <c r="A683" s="185"/>
      <c r="B683" s="189"/>
      <c r="C683" s="189"/>
      <c r="D683" s="189"/>
      <c r="E683" s="189"/>
      <c r="F683" s="189"/>
      <c r="G683" s="189"/>
      <c r="H683" s="189"/>
      <c r="I683" s="5"/>
      <c r="J683" s="6"/>
      <c r="K683" s="5"/>
      <c r="L683" s="189"/>
      <c r="M683" s="189"/>
      <c r="N683" s="189"/>
      <c r="O683" s="190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  <c r="AA683" s="185"/>
      <c r="AB683" s="185"/>
      <c r="AC683" s="185"/>
    </row>
    <row r="684" spans="1:29" ht="15.75" customHeight="1">
      <c r="A684" s="185"/>
      <c r="B684" s="189"/>
      <c r="C684" s="189"/>
      <c r="D684" s="189"/>
      <c r="E684" s="189"/>
      <c r="F684" s="189"/>
      <c r="G684" s="189"/>
      <c r="H684" s="189"/>
      <c r="I684" s="5"/>
      <c r="J684" s="6"/>
      <c r="K684" s="5"/>
      <c r="L684" s="189"/>
      <c r="M684" s="189"/>
      <c r="N684" s="189"/>
      <c r="O684" s="190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  <c r="AA684" s="185"/>
      <c r="AB684" s="185"/>
      <c r="AC684" s="185"/>
    </row>
    <row r="685" spans="1:29" ht="15.75" customHeight="1">
      <c r="A685" s="185"/>
      <c r="B685" s="189"/>
      <c r="C685" s="189"/>
      <c r="D685" s="189"/>
      <c r="E685" s="189"/>
      <c r="F685" s="189"/>
      <c r="G685" s="189"/>
      <c r="H685" s="189"/>
      <c r="I685" s="5"/>
      <c r="J685" s="6"/>
      <c r="K685" s="5"/>
      <c r="L685" s="189"/>
      <c r="M685" s="189"/>
      <c r="N685" s="189"/>
      <c r="O685" s="190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  <c r="AA685" s="185"/>
      <c r="AB685" s="185"/>
      <c r="AC685" s="185"/>
    </row>
    <row r="686" spans="1:29" ht="15.75" customHeight="1">
      <c r="A686" s="185"/>
      <c r="B686" s="189"/>
      <c r="C686" s="189"/>
      <c r="D686" s="189"/>
      <c r="E686" s="189"/>
      <c r="F686" s="189"/>
      <c r="G686" s="189"/>
      <c r="H686" s="189"/>
      <c r="I686" s="5"/>
      <c r="J686" s="6"/>
      <c r="K686" s="5"/>
      <c r="L686" s="189"/>
      <c r="M686" s="189"/>
      <c r="N686" s="189"/>
      <c r="O686" s="190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  <c r="AA686" s="185"/>
      <c r="AB686" s="185"/>
      <c r="AC686" s="185"/>
    </row>
    <row r="687" spans="1:29" ht="15.75" customHeight="1">
      <c r="A687" s="185"/>
      <c r="B687" s="189"/>
      <c r="C687" s="189"/>
      <c r="D687" s="189"/>
      <c r="E687" s="189"/>
      <c r="F687" s="189"/>
      <c r="G687" s="189"/>
      <c r="H687" s="189"/>
      <c r="I687" s="5"/>
      <c r="J687" s="6"/>
      <c r="K687" s="5"/>
      <c r="L687" s="189"/>
      <c r="M687" s="189"/>
      <c r="N687" s="189"/>
      <c r="O687" s="190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  <c r="AA687" s="185"/>
      <c r="AB687" s="185"/>
      <c r="AC687" s="185"/>
    </row>
    <row r="688" spans="1:29" ht="15.75" customHeight="1">
      <c r="A688" s="185"/>
      <c r="B688" s="189"/>
      <c r="C688" s="189"/>
      <c r="D688" s="189"/>
      <c r="E688" s="189"/>
      <c r="F688" s="189"/>
      <c r="G688" s="189"/>
      <c r="H688" s="189"/>
      <c r="I688" s="5"/>
      <c r="J688" s="6"/>
      <c r="K688" s="5"/>
      <c r="L688" s="189"/>
      <c r="M688" s="189"/>
      <c r="N688" s="189"/>
      <c r="O688" s="190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  <c r="AA688" s="185"/>
      <c r="AB688" s="185"/>
      <c r="AC688" s="185"/>
    </row>
    <row r="689" spans="1:29" ht="15.75" customHeight="1">
      <c r="A689" s="185"/>
      <c r="B689" s="189"/>
      <c r="C689" s="189"/>
      <c r="D689" s="189"/>
      <c r="E689" s="189"/>
      <c r="F689" s="189"/>
      <c r="G689" s="189"/>
      <c r="H689" s="189"/>
      <c r="I689" s="5"/>
      <c r="J689" s="6"/>
      <c r="K689" s="5"/>
      <c r="L689" s="189"/>
      <c r="M689" s="189"/>
      <c r="N689" s="189"/>
      <c r="O689" s="190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  <c r="AA689" s="185"/>
      <c r="AB689" s="185"/>
      <c r="AC689" s="185"/>
    </row>
    <row r="690" spans="1:29" ht="15.75" customHeight="1">
      <c r="A690" s="185"/>
      <c r="B690" s="189"/>
      <c r="C690" s="189"/>
      <c r="D690" s="189"/>
      <c r="E690" s="189"/>
      <c r="F690" s="189"/>
      <c r="G690" s="189"/>
      <c r="H690" s="189"/>
      <c r="I690" s="5"/>
      <c r="J690" s="6"/>
      <c r="K690" s="5"/>
      <c r="L690" s="189"/>
      <c r="M690" s="189"/>
      <c r="N690" s="189"/>
      <c r="O690" s="190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  <c r="AA690" s="185"/>
      <c r="AB690" s="185"/>
      <c r="AC690" s="185"/>
    </row>
    <row r="691" spans="1:29" ht="15.75" customHeight="1">
      <c r="A691" s="185"/>
      <c r="B691" s="189"/>
      <c r="C691" s="189"/>
      <c r="D691" s="189"/>
      <c r="E691" s="189"/>
      <c r="F691" s="189"/>
      <c r="G691" s="189"/>
      <c r="H691" s="189"/>
      <c r="I691" s="5"/>
      <c r="J691" s="6"/>
      <c r="K691" s="5"/>
      <c r="L691" s="189"/>
      <c r="M691" s="189"/>
      <c r="N691" s="189"/>
      <c r="O691" s="190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  <c r="AA691" s="185"/>
      <c r="AB691" s="185"/>
      <c r="AC691" s="185"/>
    </row>
    <row r="692" spans="1:29" ht="15.75" customHeight="1">
      <c r="A692" s="185"/>
      <c r="B692" s="189"/>
      <c r="C692" s="189"/>
      <c r="D692" s="189"/>
      <c r="E692" s="189"/>
      <c r="F692" s="189"/>
      <c r="G692" s="189"/>
      <c r="H692" s="189"/>
      <c r="I692" s="5"/>
      <c r="J692" s="6"/>
      <c r="K692" s="5"/>
      <c r="L692" s="189"/>
      <c r="M692" s="189"/>
      <c r="N692" s="189"/>
      <c r="O692" s="190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  <c r="AA692" s="185"/>
      <c r="AB692" s="185"/>
      <c r="AC692" s="185"/>
    </row>
    <row r="693" spans="1:29" ht="15.75" customHeight="1">
      <c r="A693" s="185"/>
      <c r="B693" s="189"/>
      <c r="C693" s="189"/>
      <c r="D693" s="189"/>
      <c r="E693" s="189"/>
      <c r="F693" s="189"/>
      <c r="G693" s="189"/>
      <c r="H693" s="189"/>
      <c r="I693" s="5"/>
      <c r="J693" s="6"/>
      <c r="K693" s="5"/>
      <c r="L693" s="189"/>
      <c r="M693" s="189"/>
      <c r="N693" s="189"/>
      <c r="O693" s="190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  <c r="AA693" s="185"/>
      <c r="AB693" s="185"/>
      <c r="AC693" s="185"/>
    </row>
    <row r="694" spans="1:29" ht="15.75" customHeight="1">
      <c r="A694" s="185"/>
      <c r="B694" s="189"/>
      <c r="C694" s="189"/>
      <c r="D694" s="189"/>
      <c r="E694" s="189"/>
      <c r="F694" s="189"/>
      <c r="G694" s="189"/>
      <c r="H694" s="189"/>
      <c r="I694" s="5"/>
      <c r="J694" s="6"/>
      <c r="K694" s="5"/>
      <c r="L694" s="189"/>
      <c r="M694" s="189"/>
      <c r="N694" s="189"/>
      <c r="O694" s="190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  <c r="AA694" s="185"/>
      <c r="AB694" s="185"/>
      <c r="AC694" s="185"/>
    </row>
    <row r="695" spans="1:29" ht="15.75" customHeight="1">
      <c r="A695" s="185"/>
      <c r="B695" s="189"/>
      <c r="C695" s="189"/>
      <c r="D695" s="189"/>
      <c r="E695" s="189"/>
      <c r="F695" s="189"/>
      <c r="G695" s="189"/>
      <c r="H695" s="189"/>
      <c r="I695" s="5"/>
      <c r="J695" s="6"/>
      <c r="K695" s="5"/>
      <c r="L695" s="189"/>
      <c r="M695" s="189"/>
      <c r="N695" s="189"/>
      <c r="O695" s="190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  <c r="AA695" s="185"/>
      <c r="AB695" s="185"/>
      <c r="AC695" s="185"/>
    </row>
    <row r="696" spans="1:29" ht="15.75" customHeight="1">
      <c r="A696" s="185"/>
      <c r="B696" s="189"/>
      <c r="C696" s="189"/>
      <c r="D696" s="189"/>
      <c r="E696" s="189"/>
      <c r="F696" s="189"/>
      <c r="G696" s="189"/>
      <c r="H696" s="189"/>
      <c r="I696" s="5"/>
      <c r="J696" s="6"/>
      <c r="K696" s="5"/>
      <c r="L696" s="189"/>
      <c r="M696" s="189"/>
      <c r="N696" s="189"/>
      <c r="O696" s="190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  <c r="AA696" s="185"/>
      <c r="AB696" s="185"/>
      <c r="AC696" s="185"/>
    </row>
    <row r="697" spans="1:29" ht="15.75" customHeight="1">
      <c r="A697" s="185"/>
      <c r="B697" s="189"/>
      <c r="C697" s="189"/>
      <c r="D697" s="189"/>
      <c r="E697" s="189"/>
      <c r="F697" s="189"/>
      <c r="G697" s="189"/>
      <c r="H697" s="189"/>
      <c r="I697" s="5"/>
      <c r="J697" s="6"/>
      <c r="K697" s="5"/>
      <c r="L697" s="189"/>
      <c r="M697" s="189"/>
      <c r="N697" s="189"/>
      <c r="O697" s="190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  <c r="AA697" s="185"/>
      <c r="AB697" s="185"/>
      <c r="AC697" s="185"/>
    </row>
    <row r="698" spans="1:29" ht="15.75" customHeight="1">
      <c r="A698" s="185"/>
      <c r="B698" s="189"/>
      <c r="C698" s="189"/>
      <c r="D698" s="189"/>
      <c r="E698" s="189"/>
      <c r="F698" s="189"/>
      <c r="G698" s="189"/>
      <c r="H698" s="189"/>
      <c r="I698" s="5"/>
      <c r="J698" s="6"/>
      <c r="K698" s="5"/>
      <c r="L698" s="189"/>
      <c r="M698" s="189"/>
      <c r="N698" s="189"/>
      <c r="O698" s="190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  <c r="AA698" s="185"/>
      <c r="AB698" s="185"/>
      <c r="AC698" s="185"/>
    </row>
    <row r="699" spans="1:29" ht="15.75" customHeight="1">
      <c r="A699" s="185"/>
      <c r="B699" s="189"/>
      <c r="C699" s="189"/>
      <c r="D699" s="189"/>
      <c r="E699" s="189"/>
      <c r="F699" s="189"/>
      <c r="G699" s="189"/>
      <c r="H699" s="189"/>
      <c r="I699" s="5"/>
      <c r="J699" s="6"/>
      <c r="K699" s="5"/>
      <c r="L699" s="189"/>
      <c r="M699" s="189"/>
      <c r="N699" s="189"/>
      <c r="O699" s="190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  <c r="AA699" s="185"/>
      <c r="AB699" s="185"/>
      <c r="AC699" s="185"/>
    </row>
    <row r="700" spans="1:29" ht="15.75" customHeight="1">
      <c r="A700" s="185"/>
      <c r="B700" s="189"/>
      <c r="C700" s="189"/>
      <c r="D700" s="189"/>
      <c r="E700" s="189"/>
      <c r="F700" s="189"/>
      <c r="G700" s="189"/>
      <c r="H700" s="189"/>
      <c r="I700" s="5"/>
      <c r="J700" s="6"/>
      <c r="K700" s="5"/>
      <c r="L700" s="189"/>
      <c r="M700" s="189"/>
      <c r="N700" s="189"/>
      <c r="O700" s="190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  <c r="AA700" s="185"/>
      <c r="AB700" s="185"/>
      <c r="AC700" s="185"/>
    </row>
    <row r="701" spans="1:29" ht="15.75" customHeight="1">
      <c r="A701" s="185"/>
      <c r="B701" s="189"/>
      <c r="C701" s="189"/>
      <c r="D701" s="189"/>
      <c r="E701" s="189"/>
      <c r="F701" s="189"/>
      <c r="G701" s="189"/>
      <c r="H701" s="189"/>
      <c r="I701" s="5"/>
      <c r="J701" s="6"/>
      <c r="K701" s="5"/>
      <c r="L701" s="189"/>
      <c r="M701" s="189"/>
      <c r="N701" s="189"/>
      <c r="O701" s="190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  <c r="AA701" s="185"/>
      <c r="AB701" s="185"/>
      <c r="AC701" s="185"/>
    </row>
    <row r="702" spans="1:29" ht="15.75" customHeight="1">
      <c r="A702" s="185"/>
      <c r="B702" s="189"/>
      <c r="C702" s="189"/>
      <c r="D702" s="189"/>
      <c r="E702" s="189"/>
      <c r="F702" s="189"/>
      <c r="G702" s="189"/>
      <c r="H702" s="189"/>
      <c r="I702" s="5"/>
      <c r="J702" s="6"/>
      <c r="K702" s="5"/>
      <c r="L702" s="189"/>
      <c r="M702" s="189"/>
      <c r="N702" s="189"/>
      <c r="O702" s="190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  <c r="AA702" s="185"/>
      <c r="AB702" s="185"/>
      <c r="AC702" s="185"/>
    </row>
    <row r="703" spans="1:29" ht="15.75" customHeight="1">
      <c r="A703" s="185"/>
      <c r="B703" s="189"/>
      <c r="C703" s="189"/>
      <c r="D703" s="189"/>
      <c r="E703" s="189"/>
      <c r="F703" s="189"/>
      <c r="G703" s="189"/>
      <c r="H703" s="189"/>
      <c r="I703" s="5"/>
      <c r="J703" s="6"/>
      <c r="K703" s="5"/>
      <c r="L703" s="189"/>
      <c r="M703" s="189"/>
      <c r="N703" s="189"/>
      <c r="O703" s="190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  <c r="AA703" s="185"/>
      <c r="AB703" s="185"/>
      <c r="AC703" s="185"/>
    </row>
    <row r="704" spans="1:29" ht="15.75" customHeight="1">
      <c r="A704" s="185"/>
      <c r="B704" s="189"/>
      <c r="C704" s="189"/>
      <c r="D704" s="189"/>
      <c r="E704" s="189"/>
      <c r="F704" s="189"/>
      <c r="G704" s="189"/>
      <c r="H704" s="189"/>
      <c r="I704" s="5"/>
      <c r="J704" s="6"/>
      <c r="K704" s="5"/>
      <c r="L704" s="189"/>
      <c r="M704" s="189"/>
      <c r="N704" s="189"/>
      <c r="O704" s="190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  <c r="AA704" s="185"/>
      <c r="AB704" s="185"/>
      <c r="AC704" s="185"/>
    </row>
    <row r="705" spans="1:29" ht="15.75" customHeight="1">
      <c r="A705" s="185"/>
      <c r="B705" s="189"/>
      <c r="C705" s="189"/>
      <c r="D705" s="189"/>
      <c r="E705" s="189"/>
      <c r="F705" s="189"/>
      <c r="G705" s="189"/>
      <c r="H705" s="189"/>
      <c r="I705" s="5"/>
      <c r="J705" s="6"/>
      <c r="K705" s="5"/>
      <c r="L705" s="189"/>
      <c r="M705" s="189"/>
      <c r="N705" s="189"/>
      <c r="O705" s="190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  <c r="AA705" s="185"/>
      <c r="AB705" s="185"/>
      <c r="AC705" s="185"/>
    </row>
    <row r="706" spans="1:29" ht="15.75" customHeight="1">
      <c r="A706" s="185"/>
      <c r="B706" s="189"/>
      <c r="C706" s="189"/>
      <c r="D706" s="189"/>
      <c r="E706" s="189"/>
      <c r="F706" s="189"/>
      <c r="G706" s="189"/>
      <c r="H706" s="189"/>
      <c r="I706" s="5"/>
      <c r="J706" s="6"/>
      <c r="K706" s="5"/>
      <c r="L706" s="189"/>
      <c r="M706" s="189"/>
      <c r="N706" s="189"/>
      <c r="O706" s="190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  <c r="AA706" s="185"/>
      <c r="AB706" s="185"/>
      <c r="AC706" s="185"/>
    </row>
    <row r="707" spans="1:29" ht="15.75" customHeight="1">
      <c r="A707" s="185"/>
      <c r="B707" s="189"/>
      <c r="C707" s="189"/>
      <c r="D707" s="189"/>
      <c r="E707" s="189"/>
      <c r="F707" s="189"/>
      <c r="G707" s="189"/>
      <c r="H707" s="189"/>
      <c r="I707" s="5"/>
      <c r="J707" s="6"/>
      <c r="K707" s="5"/>
      <c r="L707" s="189"/>
      <c r="M707" s="189"/>
      <c r="N707" s="189"/>
      <c r="O707" s="190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  <c r="AA707" s="185"/>
      <c r="AB707" s="185"/>
      <c r="AC707" s="185"/>
    </row>
    <row r="708" spans="1:29" ht="15.75" customHeight="1">
      <c r="A708" s="185"/>
      <c r="B708" s="189"/>
      <c r="C708" s="189"/>
      <c r="D708" s="189"/>
      <c r="E708" s="189"/>
      <c r="F708" s="189"/>
      <c r="G708" s="189"/>
      <c r="H708" s="189"/>
      <c r="I708" s="5"/>
      <c r="J708" s="6"/>
      <c r="K708" s="5"/>
      <c r="L708" s="189"/>
      <c r="M708" s="189"/>
      <c r="N708" s="189"/>
      <c r="O708" s="190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  <c r="AA708" s="185"/>
      <c r="AB708" s="185"/>
      <c r="AC708" s="185"/>
    </row>
    <row r="709" spans="1:29" ht="15.75" customHeight="1">
      <c r="A709" s="185"/>
      <c r="B709" s="189"/>
      <c r="C709" s="189"/>
      <c r="D709" s="189"/>
      <c r="E709" s="189"/>
      <c r="F709" s="189"/>
      <c r="G709" s="189"/>
      <c r="H709" s="189"/>
      <c r="I709" s="5"/>
      <c r="J709" s="6"/>
      <c r="K709" s="5"/>
      <c r="L709" s="189"/>
      <c r="M709" s="189"/>
      <c r="N709" s="189"/>
      <c r="O709" s="190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  <c r="AA709" s="185"/>
      <c r="AB709" s="185"/>
      <c r="AC709" s="185"/>
    </row>
    <row r="710" spans="1:29" ht="15.75" customHeight="1">
      <c r="A710" s="185"/>
      <c r="B710" s="189"/>
      <c r="C710" s="189"/>
      <c r="D710" s="189"/>
      <c r="E710" s="189"/>
      <c r="F710" s="189"/>
      <c r="G710" s="189"/>
      <c r="H710" s="189"/>
      <c r="I710" s="5"/>
      <c r="J710" s="6"/>
      <c r="K710" s="5"/>
      <c r="L710" s="189"/>
      <c r="M710" s="189"/>
      <c r="N710" s="189"/>
      <c r="O710" s="190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  <c r="AA710" s="185"/>
      <c r="AB710" s="185"/>
      <c r="AC710" s="185"/>
    </row>
    <row r="711" spans="1:29" ht="15.75" customHeight="1">
      <c r="A711" s="185"/>
      <c r="B711" s="189"/>
      <c r="C711" s="189"/>
      <c r="D711" s="189"/>
      <c r="E711" s="189"/>
      <c r="F711" s="189"/>
      <c r="G711" s="189"/>
      <c r="H711" s="189"/>
      <c r="I711" s="5"/>
      <c r="J711" s="6"/>
      <c r="K711" s="5"/>
      <c r="L711" s="189"/>
      <c r="M711" s="189"/>
      <c r="N711" s="189"/>
      <c r="O711" s="190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  <c r="AA711" s="185"/>
      <c r="AB711" s="185"/>
      <c r="AC711" s="185"/>
    </row>
    <row r="712" spans="1:29" ht="15.75" customHeight="1">
      <c r="A712" s="185"/>
      <c r="B712" s="189"/>
      <c r="C712" s="189"/>
      <c r="D712" s="189"/>
      <c r="E712" s="189"/>
      <c r="F712" s="189"/>
      <c r="G712" s="189"/>
      <c r="H712" s="189"/>
      <c r="I712" s="5"/>
      <c r="J712" s="6"/>
      <c r="K712" s="5"/>
      <c r="L712" s="189"/>
      <c r="M712" s="189"/>
      <c r="N712" s="189"/>
      <c r="O712" s="190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  <c r="AA712" s="185"/>
      <c r="AB712" s="185"/>
      <c r="AC712" s="185"/>
    </row>
    <row r="713" spans="1:29" ht="15.75" customHeight="1">
      <c r="A713" s="185"/>
      <c r="B713" s="189"/>
      <c r="C713" s="189"/>
      <c r="D713" s="189"/>
      <c r="E713" s="189"/>
      <c r="F713" s="189"/>
      <c r="G713" s="189"/>
      <c r="H713" s="189"/>
      <c r="I713" s="5"/>
      <c r="J713" s="6"/>
      <c r="K713" s="5"/>
      <c r="L713" s="189"/>
      <c r="M713" s="189"/>
      <c r="N713" s="189"/>
      <c r="O713" s="190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  <c r="AA713" s="185"/>
      <c r="AB713" s="185"/>
      <c r="AC713" s="185"/>
    </row>
    <row r="714" spans="1:29" ht="15.75" customHeight="1">
      <c r="A714" s="185"/>
      <c r="B714" s="189"/>
      <c r="C714" s="189"/>
      <c r="D714" s="189"/>
      <c r="E714" s="189"/>
      <c r="F714" s="189"/>
      <c r="G714" s="189"/>
      <c r="H714" s="189"/>
      <c r="I714" s="5"/>
      <c r="J714" s="6"/>
      <c r="K714" s="5"/>
      <c r="L714" s="189"/>
      <c r="M714" s="189"/>
      <c r="N714" s="189"/>
      <c r="O714" s="190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  <c r="AA714" s="185"/>
      <c r="AB714" s="185"/>
      <c r="AC714" s="185"/>
    </row>
    <row r="715" spans="1:29" ht="15.75" customHeight="1">
      <c r="A715" s="185"/>
      <c r="B715" s="189"/>
      <c r="C715" s="189"/>
      <c r="D715" s="189"/>
      <c r="E715" s="189"/>
      <c r="F715" s="189"/>
      <c r="G715" s="189"/>
      <c r="H715" s="189"/>
      <c r="I715" s="5"/>
      <c r="J715" s="6"/>
      <c r="K715" s="5"/>
      <c r="L715" s="189"/>
      <c r="M715" s="189"/>
      <c r="N715" s="189"/>
      <c r="O715" s="190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  <c r="AA715" s="185"/>
      <c r="AB715" s="185"/>
      <c r="AC715" s="185"/>
    </row>
    <row r="716" spans="1:29" ht="15.75" customHeight="1">
      <c r="A716" s="185"/>
      <c r="B716" s="189"/>
      <c r="C716" s="189"/>
      <c r="D716" s="189"/>
      <c r="E716" s="189"/>
      <c r="F716" s="189"/>
      <c r="G716" s="189"/>
      <c r="H716" s="189"/>
      <c r="I716" s="5"/>
      <c r="J716" s="6"/>
      <c r="K716" s="5"/>
      <c r="L716" s="189"/>
      <c r="M716" s="189"/>
      <c r="N716" s="189"/>
      <c r="O716" s="190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  <c r="AA716" s="185"/>
      <c r="AB716" s="185"/>
      <c r="AC716" s="185"/>
    </row>
    <row r="717" spans="1:29" ht="15.75" customHeight="1">
      <c r="A717" s="185"/>
      <c r="B717" s="189"/>
      <c r="C717" s="189"/>
      <c r="D717" s="189"/>
      <c r="E717" s="189"/>
      <c r="F717" s="189"/>
      <c r="G717" s="189"/>
      <c r="H717" s="189"/>
      <c r="I717" s="5"/>
      <c r="J717" s="6"/>
      <c r="K717" s="5"/>
      <c r="L717" s="189"/>
      <c r="M717" s="189"/>
      <c r="N717" s="189"/>
      <c r="O717" s="190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  <c r="AA717" s="185"/>
      <c r="AB717" s="185"/>
      <c r="AC717" s="185"/>
    </row>
    <row r="718" spans="1:29" ht="15.75" customHeight="1">
      <c r="A718" s="185"/>
      <c r="B718" s="189"/>
      <c r="C718" s="189"/>
      <c r="D718" s="189"/>
      <c r="E718" s="189"/>
      <c r="F718" s="189"/>
      <c r="G718" s="189"/>
      <c r="H718" s="189"/>
      <c r="I718" s="5"/>
      <c r="J718" s="6"/>
      <c r="K718" s="5"/>
      <c r="L718" s="189"/>
      <c r="M718" s="189"/>
      <c r="N718" s="189"/>
      <c r="O718" s="190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  <c r="AA718" s="185"/>
      <c r="AB718" s="185"/>
      <c r="AC718" s="185"/>
    </row>
    <row r="719" spans="1:29" ht="15.75" customHeight="1">
      <c r="A719" s="185"/>
      <c r="B719" s="189"/>
      <c r="C719" s="189"/>
      <c r="D719" s="189"/>
      <c r="E719" s="189"/>
      <c r="F719" s="189"/>
      <c r="G719" s="189"/>
      <c r="H719" s="189"/>
      <c r="I719" s="5"/>
      <c r="J719" s="6"/>
      <c r="K719" s="5"/>
      <c r="L719" s="189"/>
      <c r="M719" s="189"/>
      <c r="N719" s="189"/>
      <c r="O719" s="190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  <c r="AA719" s="185"/>
      <c r="AB719" s="185"/>
      <c r="AC719" s="185"/>
    </row>
    <row r="720" spans="1:29" ht="15.75" customHeight="1">
      <c r="A720" s="185"/>
      <c r="B720" s="189"/>
      <c r="C720" s="189"/>
      <c r="D720" s="189"/>
      <c r="E720" s="189"/>
      <c r="F720" s="189"/>
      <c r="G720" s="189"/>
      <c r="H720" s="189"/>
      <c r="I720" s="5"/>
      <c r="J720" s="6"/>
      <c r="K720" s="5"/>
      <c r="L720" s="189"/>
      <c r="M720" s="189"/>
      <c r="N720" s="189"/>
      <c r="O720" s="190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  <c r="AA720" s="185"/>
      <c r="AB720" s="185"/>
      <c r="AC720" s="185"/>
    </row>
    <row r="721" spans="1:29" ht="15.75" customHeight="1">
      <c r="A721" s="185"/>
      <c r="B721" s="189"/>
      <c r="C721" s="189"/>
      <c r="D721" s="189"/>
      <c r="E721" s="189"/>
      <c r="F721" s="189"/>
      <c r="G721" s="189"/>
      <c r="H721" s="189"/>
      <c r="I721" s="5"/>
      <c r="J721" s="6"/>
      <c r="K721" s="5"/>
      <c r="L721" s="189"/>
      <c r="M721" s="189"/>
      <c r="N721" s="189"/>
      <c r="O721" s="190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  <c r="AA721" s="185"/>
      <c r="AB721" s="185"/>
      <c r="AC721" s="185"/>
    </row>
    <row r="722" spans="1:29" ht="15.75" customHeight="1">
      <c r="A722" s="185"/>
      <c r="B722" s="189"/>
      <c r="C722" s="189"/>
      <c r="D722" s="189"/>
      <c r="E722" s="189"/>
      <c r="F722" s="189"/>
      <c r="G722" s="189"/>
      <c r="H722" s="189"/>
      <c r="I722" s="5"/>
      <c r="J722" s="6"/>
      <c r="K722" s="5"/>
      <c r="L722" s="189"/>
      <c r="M722" s="189"/>
      <c r="N722" s="189"/>
      <c r="O722" s="190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  <c r="AA722" s="185"/>
      <c r="AB722" s="185"/>
      <c r="AC722" s="185"/>
    </row>
    <row r="723" spans="1:29" ht="15.75" customHeight="1">
      <c r="A723" s="185"/>
      <c r="B723" s="189"/>
      <c r="C723" s="189"/>
      <c r="D723" s="189"/>
      <c r="E723" s="189"/>
      <c r="F723" s="189"/>
      <c r="G723" s="189"/>
      <c r="H723" s="189"/>
      <c r="I723" s="5"/>
      <c r="J723" s="6"/>
      <c r="K723" s="5"/>
      <c r="L723" s="189"/>
      <c r="M723" s="189"/>
      <c r="N723" s="189"/>
      <c r="O723" s="190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  <c r="AA723" s="185"/>
      <c r="AB723" s="185"/>
      <c r="AC723" s="185"/>
    </row>
    <row r="724" spans="1:29" ht="15.75" customHeight="1">
      <c r="A724" s="185"/>
      <c r="B724" s="189"/>
      <c r="C724" s="189"/>
      <c r="D724" s="189"/>
      <c r="E724" s="189"/>
      <c r="F724" s="189"/>
      <c r="G724" s="189"/>
      <c r="H724" s="189"/>
      <c r="I724" s="5"/>
      <c r="J724" s="6"/>
      <c r="K724" s="5"/>
      <c r="L724" s="189"/>
      <c r="M724" s="189"/>
      <c r="N724" s="189"/>
      <c r="O724" s="190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  <c r="AA724" s="185"/>
      <c r="AB724" s="185"/>
      <c r="AC724" s="185"/>
    </row>
    <row r="725" spans="1:29" ht="15.75" customHeight="1">
      <c r="A725" s="185"/>
      <c r="B725" s="189"/>
      <c r="C725" s="189"/>
      <c r="D725" s="189"/>
      <c r="E725" s="189"/>
      <c r="F725" s="189"/>
      <c r="G725" s="189"/>
      <c r="H725" s="189"/>
      <c r="I725" s="5"/>
      <c r="J725" s="6"/>
      <c r="K725" s="5"/>
      <c r="L725" s="189"/>
      <c r="M725" s="189"/>
      <c r="N725" s="189"/>
      <c r="O725" s="190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  <c r="AA725" s="185"/>
      <c r="AB725" s="185"/>
      <c r="AC725" s="185"/>
    </row>
    <row r="726" spans="1:29" ht="15.75" customHeight="1">
      <c r="A726" s="185"/>
      <c r="B726" s="189"/>
      <c r="C726" s="189"/>
      <c r="D726" s="189"/>
      <c r="E726" s="189"/>
      <c r="F726" s="189"/>
      <c r="G726" s="189"/>
      <c r="H726" s="189"/>
      <c r="I726" s="5"/>
      <c r="J726" s="6"/>
      <c r="K726" s="5"/>
      <c r="L726" s="189"/>
      <c r="M726" s="189"/>
      <c r="N726" s="189"/>
      <c r="O726" s="190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  <c r="AA726" s="185"/>
      <c r="AB726" s="185"/>
      <c r="AC726" s="185"/>
    </row>
    <row r="727" spans="1:29" ht="15.75" customHeight="1">
      <c r="A727" s="185"/>
      <c r="B727" s="189"/>
      <c r="C727" s="189"/>
      <c r="D727" s="189"/>
      <c r="E727" s="189"/>
      <c r="F727" s="189"/>
      <c r="G727" s="189"/>
      <c r="H727" s="189"/>
      <c r="I727" s="5"/>
      <c r="J727" s="6"/>
      <c r="K727" s="5"/>
      <c r="L727" s="189"/>
      <c r="M727" s="189"/>
      <c r="N727" s="189"/>
      <c r="O727" s="190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  <c r="AA727" s="185"/>
      <c r="AB727" s="185"/>
      <c r="AC727" s="185"/>
    </row>
    <row r="728" spans="1:29" ht="15.75" customHeight="1">
      <c r="A728" s="185"/>
      <c r="B728" s="189"/>
      <c r="C728" s="189"/>
      <c r="D728" s="189"/>
      <c r="E728" s="189"/>
      <c r="F728" s="189"/>
      <c r="G728" s="189"/>
      <c r="H728" s="189"/>
      <c r="I728" s="5"/>
      <c r="J728" s="6"/>
      <c r="K728" s="5"/>
      <c r="L728" s="189"/>
      <c r="M728" s="189"/>
      <c r="N728" s="189"/>
      <c r="O728" s="190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  <c r="AA728" s="185"/>
      <c r="AB728" s="185"/>
      <c r="AC728" s="185"/>
    </row>
    <row r="729" spans="1:29" ht="15.75" customHeight="1">
      <c r="A729" s="185"/>
      <c r="B729" s="189"/>
      <c r="C729" s="189"/>
      <c r="D729" s="189"/>
      <c r="E729" s="189"/>
      <c r="F729" s="189"/>
      <c r="G729" s="189"/>
      <c r="H729" s="189"/>
      <c r="I729" s="5"/>
      <c r="J729" s="6"/>
      <c r="K729" s="5"/>
      <c r="L729" s="189"/>
      <c r="M729" s="189"/>
      <c r="N729" s="189"/>
      <c r="O729" s="190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  <c r="AA729" s="185"/>
      <c r="AB729" s="185"/>
      <c r="AC729" s="185"/>
    </row>
    <row r="730" spans="1:29" ht="15.75" customHeight="1">
      <c r="A730" s="185"/>
      <c r="B730" s="189"/>
      <c r="C730" s="189"/>
      <c r="D730" s="189"/>
      <c r="E730" s="189"/>
      <c r="F730" s="189"/>
      <c r="G730" s="189"/>
      <c r="H730" s="189"/>
      <c r="I730" s="5"/>
      <c r="J730" s="6"/>
      <c r="K730" s="5"/>
      <c r="L730" s="189"/>
      <c r="M730" s="189"/>
      <c r="N730" s="189"/>
      <c r="O730" s="190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  <c r="AA730" s="185"/>
      <c r="AB730" s="185"/>
      <c r="AC730" s="185"/>
    </row>
    <row r="731" spans="1:29" ht="15.75" customHeight="1">
      <c r="A731" s="185"/>
      <c r="B731" s="189"/>
      <c r="C731" s="189"/>
      <c r="D731" s="189"/>
      <c r="E731" s="189"/>
      <c r="F731" s="189"/>
      <c r="G731" s="189"/>
      <c r="H731" s="189"/>
      <c r="I731" s="5"/>
      <c r="J731" s="6"/>
      <c r="K731" s="5"/>
      <c r="L731" s="189"/>
      <c r="M731" s="189"/>
      <c r="N731" s="189"/>
      <c r="O731" s="190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  <c r="AA731" s="185"/>
      <c r="AB731" s="185"/>
      <c r="AC731" s="185"/>
    </row>
    <row r="732" spans="1:29" ht="15.75" customHeight="1">
      <c r="A732" s="185"/>
      <c r="B732" s="189"/>
      <c r="C732" s="189"/>
      <c r="D732" s="189"/>
      <c r="E732" s="189"/>
      <c r="F732" s="189"/>
      <c r="G732" s="189"/>
      <c r="H732" s="189"/>
      <c r="I732" s="5"/>
      <c r="J732" s="6"/>
      <c r="K732" s="5"/>
      <c r="L732" s="189"/>
      <c r="M732" s="189"/>
      <c r="N732" s="189"/>
      <c r="O732" s="190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  <c r="AA732" s="185"/>
      <c r="AB732" s="185"/>
      <c r="AC732" s="185"/>
    </row>
    <row r="733" spans="1:29" ht="15.75" customHeight="1">
      <c r="A733" s="185"/>
      <c r="B733" s="189"/>
      <c r="C733" s="189"/>
      <c r="D733" s="189"/>
      <c r="E733" s="189"/>
      <c r="F733" s="189"/>
      <c r="G733" s="189"/>
      <c r="H733" s="189"/>
      <c r="I733" s="5"/>
      <c r="J733" s="6"/>
      <c r="K733" s="5"/>
      <c r="L733" s="189"/>
      <c r="M733" s="189"/>
      <c r="N733" s="189"/>
      <c r="O733" s="190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  <c r="AA733" s="185"/>
      <c r="AB733" s="185"/>
      <c r="AC733" s="185"/>
    </row>
    <row r="734" spans="1:29" ht="15.75" customHeight="1">
      <c r="A734" s="185"/>
      <c r="B734" s="189"/>
      <c r="C734" s="189"/>
      <c r="D734" s="189"/>
      <c r="E734" s="189"/>
      <c r="F734" s="189"/>
      <c r="G734" s="189"/>
      <c r="H734" s="189"/>
      <c r="I734" s="5"/>
      <c r="J734" s="6"/>
      <c r="K734" s="5"/>
      <c r="L734" s="189"/>
      <c r="M734" s="189"/>
      <c r="N734" s="189"/>
      <c r="O734" s="190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  <c r="AA734" s="185"/>
      <c r="AB734" s="185"/>
      <c r="AC734" s="185"/>
    </row>
    <row r="735" spans="1:29" ht="15.75" customHeight="1">
      <c r="A735" s="185"/>
      <c r="B735" s="189"/>
      <c r="C735" s="189"/>
      <c r="D735" s="189"/>
      <c r="E735" s="189"/>
      <c r="F735" s="189"/>
      <c r="G735" s="189"/>
      <c r="H735" s="189"/>
      <c r="I735" s="5"/>
      <c r="J735" s="6"/>
      <c r="K735" s="5"/>
      <c r="L735" s="189"/>
      <c r="M735" s="189"/>
      <c r="N735" s="189"/>
      <c r="O735" s="190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  <c r="AA735" s="185"/>
      <c r="AB735" s="185"/>
      <c r="AC735" s="185"/>
    </row>
    <row r="736" spans="1:29" ht="15.75" customHeight="1">
      <c r="A736" s="185"/>
      <c r="B736" s="189"/>
      <c r="C736" s="189"/>
      <c r="D736" s="189"/>
      <c r="E736" s="189"/>
      <c r="F736" s="189"/>
      <c r="G736" s="189"/>
      <c r="H736" s="189"/>
      <c r="I736" s="5"/>
      <c r="J736" s="6"/>
      <c r="K736" s="5"/>
      <c r="L736" s="189"/>
      <c r="M736" s="189"/>
      <c r="N736" s="189"/>
      <c r="O736" s="190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  <c r="AA736" s="185"/>
      <c r="AB736" s="185"/>
      <c r="AC736" s="185"/>
    </row>
    <row r="737" spans="1:29" ht="15.75" customHeight="1">
      <c r="A737" s="185"/>
      <c r="B737" s="189"/>
      <c r="C737" s="189"/>
      <c r="D737" s="189"/>
      <c r="E737" s="189"/>
      <c r="F737" s="189"/>
      <c r="G737" s="189"/>
      <c r="H737" s="189"/>
      <c r="I737" s="5"/>
      <c r="J737" s="6"/>
      <c r="K737" s="5"/>
      <c r="L737" s="189"/>
      <c r="M737" s="189"/>
      <c r="N737" s="189"/>
      <c r="O737" s="190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  <c r="AA737" s="185"/>
      <c r="AB737" s="185"/>
      <c r="AC737" s="185"/>
    </row>
    <row r="738" spans="1:29" ht="15.75" customHeight="1">
      <c r="A738" s="185"/>
      <c r="B738" s="189"/>
      <c r="C738" s="189"/>
      <c r="D738" s="189"/>
      <c r="E738" s="189"/>
      <c r="F738" s="189"/>
      <c r="G738" s="189"/>
      <c r="H738" s="189"/>
      <c r="I738" s="5"/>
      <c r="J738" s="6"/>
      <c r="K738" s="5"/>
      <c r="L738" s="189"/>
      <c r="M738" s="189"/>
      <c r="N738" s="189"/>
      <c r="O738" s="190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  <c r="AA738" s="185"/>
      <c r="AB738" s="185"/>
      <c r="AC738" s="185"/>
    </row>
    <row r="739" spans="1:29" ht="15.75" customHeight="1">
      <c r="A739" s="185"/>
      <c r="B739" s="189"/>
      <c r="C739" s="189"/>
      <c r="D739" s="189"/>
      <c r="E739" s="189"/>
      <c r="F739" s="189"/>
      <c r="G739" s="189"/>
      <c r="H739" s="189"/>
      <c r="I739" s="5"/>
      <c r="J739" s="6"/>
      <c r="K739" s="5"/>
      <c r="L739" s="189"/>
      <c r="M739" s="189"/>
      <c r="N739" s="189"/>
      <c r="O739" s="190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  <c r="AA739" s="185"/>
      <c r="AB739" s="185"/>
      <c r="AC739" s="185"/>
    </row>
    <row r="740" spans="1:29" ht="15.75" customHeight="1">
      <c r="A740" s="185"/>
      <c r="B740" s="189"/>
      <c r="C740" s="189"/>
      <c r="D740" s="189"/>
      <c r="E740" s="189"/>
      <c r="F740" s="189"/>
      <c r="G740" s="189"/>
      <c r="H740" s="189"/>
      <c r="I740" s="5"/>
      <c r="J740" s="6"/>
      <c r="K740" s="5"/>
      <c r="L740" s="189"/>
      <c r="M740" s="189"/>
      <c r="N740" s="189"/>
      <c r="O740" s="190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  <c r="AA740" s="185"/>
      <c r="AB740" s="185"/>
      <c r="AC740" s="185"/>
    </row>
    <row r="741" spans="1:29" ht="15.75" customHeight="1">
      <c r="A741" s="185"/>
      <c r="B741" s="189"/>
      <c r="C741" s="189"/>
      <c r="D741" s="189"/>
      <c r="E741" s="189"/>
      <c r="F741" s="189"/>
      <c r="G741" s="189"/>
      <c r="H741" s="189"/>
      <c r="I741" s="5"/>
      <c r="J741" s="6"/>
      <c r="K741" s="5"/>
      <c r="L741" s="189"/>
      <c r="M741" s="189"/>
      <c r="N741" s="189"/>
      <c r="O741" s="190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  <c r="AA741" s="185"/>
      <c r="AB741" s="185"/>
      <c r="AC741" s="185"/>
    </row>
    <row r="742" spans="1:29" ht="15.75" customHeight="1">
      <c r="A742" s="185"/>
      <c r="B742" s="189"/>
      <c r="C742" s="189"/>
      <c r="D742" s="189"/>
      <c r="E742" s="189"/>
      <c r="F742" s="189"/>
      <c r="G742" s="189"/>
      <c r="H742" s="189"/>
      <c r="I742" s="5"/>
      <c r="J742" s="6"/>
      <c r="K742" s="5"/>
      <c r="L742" s="189"/>
      <c r="M742" s="189"/>
      <c r="N742" s="189"/>
      <c r="O742" s="190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  <c r="AA742" s="185"/>
      <c r="AB742" s="185"/>
      <c r="AC742" s="185"/>
    </row>
    <row r="743" spans="1:29" ht="15.75" customHeight="1">
      <c r="A743" s="185"/>
      <c r="B743" s="189"/>
      <c r="C743" s="189"/>
      <c r="D743" s="189"/>
      <c r="E743" s="189"/>
      <c r="F743" s="189"/>
      <c r="G743" s="189"/>
      <c r="H743" s="189"/>
      <c r="I743" s="5"/>
      <c r="J743" s="6"/>
      <c r="K743" s="5"/>
      <c r="L743" s="189"/>
      <c r="M743" s="189"/>
      <c r="N743" s="189"/>
      <c r="O743" s="190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  <c r="AA743" s="185"/>
      <c r="AB743" s="185"/>
      <c r="AC743" s="185"/>
    </row>
    <row r="744" spans="1:29" ht="15.75" customHeight="1">
      <c r="A744" s="185"/>
      <c r="B744" s="189"/>
      <c r="C744" s="189"/>
      <c r="D744" s="189"/>
      <c r="E744" s="189"/>
      <c r="F744" s="189"/>
      <c r="G744" s="189"/>
      <c r="H744" s="189"/>
      <c r="I744" s="5"/>
      <c r="J744" s="6"/>
      <c r="K744" s="5"/>
      <c r="L744" s="189"/>
      <c r="M744" s="189"/>
      <c r="N744" s="189"/>
      <c r="O744" s="190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  <c r="AA744" s="185"/>
      <c r="AB744" s="185"/>
      <c r="AC744" s="185"/>
    </row>
    <row r="745" spans="1:29" ht="15.75" customHeight="1">
      <c r="A745" s="185"/>
      <c r="B745" s="189"/>
      <c r="C745" s="189"/>
      <c r="D745" s="189"/>
      <c r="E745" s="189"/>
      <c r="F745" s="189"/>
      <c r="G745" s="189"/>
      <c r="H745" s="189"/>
      <c r="I745" s="5"/>
      <c r="J745" s="6"/>
      <c r="K745" s="5"/>
      <c r="L745" s="189"/>
      <c r="M745" s="189"/>
      <c r="N745" s="189"/>
      <c r="O745" s="190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  <c r="AA745" s="185"/>
      <c r="AB745" s="185"/>
      <c r="AC745" s="185"/>
    </row>
    <row r="746" spans="1:29" ht="15.75" customHeight="1">
      <c r="A746" s="185"/>
      <c r="B746" s="189"/>
      <c r="C746" s="189"/>
      <c r="D746" s="189"/>
      <c r="E746" s="189"/>
      <c r="F746" s="189"/>
      <c r="G746" s="189"/>
      <c r="H746" s="189"/>
      <c r="I746" s="5"/>
      <c r="J746" s="6"/>
      <c r="K746" s="5"/>
      <c r="L746" s="189"/>
      <c r="M746" s="189"/>
      <c r="N746" s="189"/>
      <c r="O746" s="190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  <c r="AA746" s="185"/>
      <c r="AB746" s="185"/>
      <c r="AC746" s="185"/>
    </row>
    <row r="747" spans="1:29" ht="15.75" customHeight="1">
      <c r="A747" s="185"/>
      <c r="B747" s="189"/>
      <c r="C747" s="189"/>
      <c r="D747" s="189"/>
      <c r="E747" s="189"/>
      <c r="F747" s="189"/>
      <c r="G747" s="189"/>
      <c r="H747" s="189"/>
      <c r="I747" s="5"/>
      <c r="J747" s="6"/>
      <c r="K747" s="5"/>
      <c r="L747" s="189"/>
      <c r="M747" s="189"/>
      <c r="N747" s="189"/>
      <c r="O747" s="190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  <c r="AA747" s="185"/>
      <c r="AB747" s="185"/>
      <c r="AC747" s="185"/>
    </row>
    <row r="748" spans="1:29" ht="15.75" customHeight="1">
      <c r="A748" s="185"/>
      <c r="B748" s="189"/>
      <c r="C748" s="189"/>
      <c r="D748" s="189"/>
      <c r="E748" s="189"/>
      <c r="F748" s="189"/>
      <c r="G748" s="189"/>
      <c r="H748" s="189"/>
      <c r="I748" s="5"/>
      <c r="J748" s="6"/>
      <c r="K748" s="5"/>
      <c r="L748" s="189"/>
      <c r="M748" s="189"/>
      <c r="N748" s="189"/>
      <c r="O748" s="190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  <c r="AA748" s="185"/>
      <c r="AB748" s="185"/>
      <c r="AC748" s="185"/>
    </row>
    <row r="749" spans="1:29" ht="15.75" customHeight="1">
      <c r="A749" s="185"/>
      <c r="B749" s="189"/>
      <c r="C749" s="189"/>
      <c r="D749" s="189"/>
      <c r="E749" s="189"/>
      <c r="F749" s="189"/>
      <c r="G749" s="189"/>
      <c r="H749" s="189"/>
      <c r="I749" s="5"/>
      <c r="J749" s="6"/>
      <c r="K749" s="5"/>
      <c r="L749" s="189"/>
      <c r="M749" s="189"/>
      <c r="N749" s="189"/>
      <c r="O749" s="190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  <c r="AA749" s="185"/>
      <c r="AB749" s="185"/>
      <c r="AC749" s="185"/>
    </row>
    <row r="750" spans="1:29" ht="15.75" customHeight="1">
      <c r="A750" s="185"/>
      <c r="B750" s="189"/>
      <c r="C750" s="189"/>
      <c r="D750" s="189"/>
      <c r="E750" s="189"/>
      <c r="F750" s="189"/>
      <c r="G750" s="189"/>
      <c r="H750" s="189"/>
      <c r="I750" s="5"/>
      <c r="J750" s="6"/>
      <c r="K750" s="5"/>
      <c r="L750" s="189"/>
      <c r="M750" s="189"/>
      <c r="N750" s="189"/>
      <c r="O750" s="190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  <c r="AA750" s="185"/>
      <c r="AB750" s="185"/>
      <c r="AC750" s="185"/>
    </row>
    <row r="751" spans="1:29" ht="15.75" customHeight="1">
      <c r="A751" s="185"/>
      <c r="B751" s="189"/>
      <c r="C751" s="189"/>
      <c r="D751" s="189"/>
      <c r="E751" s="189"/>
      <c r="F751" s="189"/>
      <c r="G751" s="189"/>
      <c r="H751" s="189"/>
      <c r="I751" s="5"/>
      <c r="J751" s="6"/>
      <c r="K751" s="5"/>
      <c r="L751" s="189"/>
      <c r="M751" s="189"/>
      <c r="N751" s="189"/>
      <c r="O751" s="190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  <c r="AA751" s="185"/>
      <c r="AB751" s="185"/>
      <c r="AC751" s="185"/>
    </row>
    <row r="752" spans="1:29" ht="15.75" customHeight="1">
      <c r="A752" s="185"/>
      <c r="B752" s="189"/>
      <c r="C752" s="189"/>
      <c r="D752" s="189"/>
      <c r="E752" s="189"/>
      <c r="F752" s="189"/>
      <c r="G752" s="189"/>
      <c r="H752" s="189"/>
      <c r="I752" s="5"/>
      <c r="J752" s="6"/>
      <c r="K752" s="5"/>
      <c r="L752" s="189"/>
      <c r="M752" s="189"/>
      <c r="N752" s="189"/>
      <c r="O752" s="190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  <c r="AA752" s="185"/>
      <c r="AB752" s="185"/>
      <c r="AC752" s="185"/>
    </row>
    <row r="753" spans="1:29" ht="15.75" customHeight="1">
      <c r="A753" s="185"/>
      <c r="B753" s="189"/>
      <c r="C753" s="189"/>
      <c r="D753" s="189"/>
      <c r="E753" s="189"/>
      <c r="F753" s="189"/>
      <c r="G753" s="189"/>
      <c r="H753" s="189"/>
      <c r="I753" s="5"/>
      <c r="J753" s="6"/>
      <c r="K753" s="5"/>
      <c r="L753" s="189"/>
      <c r="M753" s="189"/>
      <c r="N753" s="189"/>
      <c r="O753" s="190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  <c r="AA753" s="185"/>
      <c r="AB753" s="185"/>
      <c r="AC753" s="185"/>
    </row>
    <row r="754" spans="1:29" ht="15.75" customHeight="1">
      <c r="A754" s="185"/>
      <c r="B754" s="189"/>
      <c r="C754" s="189"/>
      <c r="D754" s="189"/>
      <c r="E754" s="189"/>
      <c r="F754" s="189"/>
      <c r="G754" s="189"/>
      <c r="H754" s="189"/>
      <c r="I754" s="5"/>
      <c r="J754" s="6"/>
      <c r="K754" s="5"/>
      <c r="L754" s="189"/>
      <c r="M754" s="189"/>
      <c r="N754" s="189"/>
      <c r="O754" s="190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  <c r="AA754" s="185"/>
      <c r="AB754" s="185"/>
      <c r="AC754" s="185"/>
    </row>
    <row r="755" spans="1:29" ht="15.75" customHeight="1">
      <c r="A755" s="185"/>
      <c r="B755" s="189"/>
      <c r="C755" s="189"/>
      <c r="D755" s="189"/>
      <c r="E755" s="189"/>
      <c r="F755" s="189"/>
      <c r="G755" s="189"/>
      <c r="H755" s="189"/>
      <c r="I755" s="5"/>
      <c r="J755" s="6"/>
      <c r="K755" s="5"/>
      <c r="L755" s="189"/>
      <c r="M755" s="189"/>
      <c r="N755" s="189"/>
      <c r="O755" s="190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  <c r="AA755" s="185"/>
      <c r="AB755" s="185"/>
      <c r="AC755" s="185"/>
    </row>
    <row r="756" spans="1:29" ht="15.75" customHeight="1">
      <c r="A756" s="185"/>
      <c r="B756" s="189"/>
      <c r="C756" s="189"/>
      <c r="D756" s="189"/>
      <c r="E756" s="189"/>
      <c r="F756" s="189"/>
      <c r="G756" s="189"/>
      <c r="H756" s="189"/>
      <c r="I756" s="5"/>
      <c r="J756" s="6"/>
      <c r="K756" s="5"/>
      <c r="L756" s="189"/>
      <c r="M756" s="189"/>
      <c r="N756" s="189"/>
      <c r="O756" s="190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  <c r="AA756" s="185"/>
      <c r="AB756" s="185"/>
      <c r="AC756" s="185"/>
    </row>
    <row r="757" spans="1:29" ht="15.75" customHeight="1">
      <c r="A757" s="185"/>
      <c r="B757" s="189"/>
      <c r="C757" s="189"/>
      <c r="D757" s="189"/>
      <c r="E757" s="189"/>
      <c r="F757" s="189"/>
      <c r="G757" s="189"/>
      <c r="H757" s="189"/>
      <c r="I757" s="5"/>
      <c r="J757" s="6"/>
      <c r="K757" s="5"/>
      <c r="L757" s="189"/>
      <c r="M757" s="189"/>
      <c r="N757" s="189"/>
      <c r="O757" s="190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  <c r="AA757" s="185"/>
      <c r="AB757" s="185"/>
      <c r="AC757" s="185"/>
    </row>
    <row r="758" spans="1:29" ht="15.75" customHeight="1">
      <c r="A758" s="185"/>
      <c r="B758" s="189"/>
      <c r="C758" s="189"/>
      <c r="D758" s="189"/>
      <c r="E758" s="189"/>
      <c r="F758" s="189"/>
      <c r="G758" s="189"/>
      <c r="H758" s="189"/>
      <c r="I758" s="5"/>
      <c r="J758" s="6"/>
      <c r="K758" s="5"/>
      <c r="L758" s="189"/>
      <c r="M758" s="189"/>
      <c r="N758" s="189"/>
      <c r="O758" s="190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  <c r="AA758" s="185"/>
      <c r="AB758" s="185"/>
      <c r="AC758" s="185"/>
    </row>
    <row r="759" spans="1:29" ht="15.75" customHeight="1">
      <c r="A759" s="185"/>
      <c r="B759" s="189"/>
      <c r="C759" s="189"/>
      <c r="D759" s="189"/>
      <c r="E759" s="189"/>
      <c r="F759" s="189"/>
      <c r="G759" s="189"/>
      <c r="H759" s="189"/>
      <c r="I759" s="5"/>
      <c r="J759" s="6"/>
      <c r="K759" s="5"/>
      <c r="L759" s="189"/>
      <c r="M759" s="189"/>
      <c r="N759" s="189"/>
      <c r="O759" s="190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  <c r="AA759" s="185"/>
      <c r="AB759" s="185"/>
      <c r="AC759" s="185"/>
    </row>
    <row r="760" spans="1:29" ht="15.75" customHeight="1">
      <c r="A760" s="185"/>
      <c r="B760" s="189"/>
      <c r="C760" s="189"/>
      <c r="D760" s="189"/>
      <c r="E760" s="189"/>
      <c r="F760" s="189"/>
      <c r="G760" s="189"/>
      <c r="H760" s="189"/>
      <c r="I760" s="5"/>
      <c r="J760" s="6"/>
      <c r="K760" s="5"/>
      <c r="L760" s="189"/>
      <c r="M760" s="189"/>
      <c r="N760" s="189"/>
      <c r="O760" s="190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  <c r="AA760" s="185"/>
      <c r="AB760" s="185"/>
      <c r="AC760" s="185"/>
    </row>
    <row r="761" spans="1:29" ht="15.75" customHeight="1">
      <c r="A761" s="185"/>
      <c r="B761" s="189"/>
      <c r="C761" s="189"/>
      <c r="D761" s="189"/>
      <c r="E761" s="189"/>
      <c r="F761" s="189"/>
      <c r="G761" s="189"/>
      <c r="H761" s="189"/>
      <c r="I761" s="5"/>
      <c r="J761" s="6"/>
      <c r="K761" s="5"/>
      <c r="L761" s="189"/>
      <c r="M761" s="189"/>
      <c r="N761" s="189"/>
      <c r="O761" s="190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  <c r="AA761" s="185"/>
      <c r="AB761" s="185"/>
      <c r="AC761" s="185"/>
    </row>
    <row r="762" spans="1:29" ht="15.75" customHeight="1">
      <c r="A762" s="185"/>
      <c r="B762" s="189"/>
      <c r="C762" s="189"/>
      <c r="D762" s="189"/>
      <c r="E762" s="189"/>
      <c r="F762" s="189"/>
      <c r="G762" s="189"/>
      <c r="H762" s="189"/>
      <c r="I762" s="5"/>
      <c r="J762" s="6"/>
      <c r="K762" s="5"/>
      <c r="L762" s="189"/>
      <c r="M762" s="189"/>
      <c r="N762" s="189"/>
      <c r="O762" s="190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  <c r="AA762" s="185"/>
      <c r="AB762" s="185"/>
      <c r="AC762" s="185"/>
    </row>
    <row r="763" spans="1:29" ht="15.75" customHeight="1">
      <c r="A763" s="185"/>
      <c r="B763" s="189"/>
      <c r="C763" s="189"/>
      <c r="D763" s="189"/>
      <c r="E763" s="189"/>
      <c r="F763" s="189"/>
      <c r="G763" s="189"/>
      <c r="H763" s="189"/>
      <c r="I763" s="5"/>
      <c r="J763" s="6"/>
      <c r="K763" s="5"/>
      <c r="L763" s="189"/>
      <c r="M763" s="189"/>
      <c r="N763" s="189"/>
      <c r="O763" s="190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  <c r="AA763" s="185"/>
      <c r="AB763" s="185"/>
      <c r="AC763" s="185"/>
    </row>
    <row r="764" spans="1:29" ht="15.75" customHeight="1">
      <c r="A764" s="185"/>
      <c r="B764" s="189"/>
      <c r="C764" s="189"/>
      <c r="D764" s="189"/>
      <c r="E764" s="189"/>
      <c r="F764" s="189"/>
      <c r="G764" s="189"/>
      <c r="H764" s="189"/>
      <c r="I764" s="5"/>
      <c r="J764" s="6"/>
      <c r="K764" s="5"/>
      <c r="L764" s="189"/>
      <c r="M764" s="189"/>
      <c r="N764" s="189"/>
      <c r="O764" s="190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  <c r="AA764" s="185"/>
      <c r="AB764" s="185"/>
      <c r="AC764" s="185"/>
    </row>
    <row r="765" spans="1:29" ht="15.75" customHeight="1">
      <c r="A765" s="185"/>
      <c r="B765" s="189"/>
      <c r="C765" s="189"/>
      <c r="D765" s="189"/>
      <c r="E765" s="189"/>
      <c r="F765" s="189"/>
      <c r="G765" s="189"/>
      <c r="H765" s="189"/>
      <c r="I765" s="5"/>
      <c r="J765" s="6"/>
      <c r="K765" s="5"/>
      <c r="L765" s="189"/>
      <c r="M765" s="189"/>
      <c r="N765" s="189"/>
      <c r="O765" s="190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  <c r="AA765" s="185"/>
      <c r="AB765" s="185"/>
      <c r="AC765" s="185"/>
    </row>
    <row r="766" spans="1:29" ht="15.75" customHeight="1">
      <c r="A766" s="185"/>
      <c r="B766" s="189"/>
      <c r="C766" s="189"/>
      <c r="D766" s="189"/>
      <c r="E766" s="189"/>
      <c r="F766" s="189"/>
      <c r="G766" s="189"/>
      <c r="H766" s="189"/>
      <c r="I766" s="5"/>
      <c r="J766" s="6"/>
      <c r="K766" s="5"/>
      <c r="L766" s="189"/>
      <c r="M766" s="189"/>
      <c r="N766" s="189"/>
      <c r="O766" s="190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  <c r="AA766" s="185"/>
      <c r="AB766" s="185"/>
      <c r="AC766" s="185"/>
    </row>
    <row r="767" spans="1:29" ht="15.75" customHeight="1">
      <c r="A767" s="185"/>
      <c r="B767" s="189"/>
      <c r="C767" s="189"/>
      <c r="D767" s="189"/>
      <c r="E767" s="189"/>
      <c r="F767" s="189"/>
      <c r="G767" s="189"/>
      <c r="H767" s="189"/>
      <c r="I767" s="5"/>
      <c r="J767" s="6"/>
      <c r="K767" s="5"/>
      <c r="L767" s="189"/>
      <c r="M767" s="189"/>
      <c r="N767" s="189"/>
      <c r="O767" s="190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  <c r="AA767" s="185"/>
      <c r="AB767" s="185"/>
      <c r="AC767" s="185"/>
    </row>
    <row r="768" spans="1:29" ht="15.75" customHeight="1">
      <c r="A768" s="185"/>
      <c r="B768" s="189"/>
      <c r="C768" s="189"/>
      <c r="D768" s="189"/>
      <c r="E768" s="189"/>
      <c r="F768" s="189"/>
      <c r="G768" s="189"/>
      <c r="H768" s="189"/>
      <c r="I768" s="5"/>
      <c r="J768" s="6"/>
      <c r="K768" s="5"/>
      <c r="L768" s="189"/>
      <c r="M768" s="189"/>
      <c r="N768" s="189"/>
      <c r="O768" s="190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  <c r="AA768" s="185"/>
      <c r="AB768" s="185"/>
      <c r="AC768" s="185"/>
    </row>
    <row r="769" spans="1:29" ht="15.75" customHeight="1">
      <c r="A769" s="185"/>
      <c r="B769" s="189"/>
      <c r="C769" s="189"/>
      <c r="D769" s="189"/>
      <c r="E769" s="189"/>
      <c r="F769" s="189"/>
      <c r="G769" s="189"/>
      <c r="H769" s="189"/>
      <c r="I769" s="5"/>
      <c r="J769" s="6"/>
      <c r="K769" s="5"/>
      <c r="L769" s="189"/>
      <c r="M769" s="189"/>
      <c r="N769" s="189"/>
      <c r="O769" s="190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  <c r="AA769" s="185"/>
      <c r="AB769" s="185"/>
      <c r="AC769" s="185"/>
    </row>
    <row r="770" spans="1:29" ht="15.75" customHeight="1">
      <c r="A770" s="185"/>
      <c r="B770" s="189"/>
      <c r="C770" s="189"/>
      <c r="D770" s="189"/>
      <c r="E770" s="189"/>
      <c r="F770" s="189"/>
      <c r="G770" s="189"/>
      <c r="H770" s="189"/>
      <c r="I770" s="5"/>
      <c r="J770" s="6"/>
      <c r="K770" s="5"/>
      <c r="L770" s="189"/>
      <c r="M770" s="189"/>
      <c r="N770" s="189"/>
      <c r="O770" s="190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  <c r="AA770" s="185"/>
      <c r="AB770" s="185"/>
      <c r="AC770" s="185"/>
    </row>
    <row r="771" spans="1:29" ht="15.75" customHeight="1">
      <c r="A771" s="185"/>
      <c r="B771" s="189"/>
      <c r="C771" s="189"/>
      <c r="D771" s="189"/>
      <c r="E771" s="189"/>
      <c r="F771" s="189"/>
      <c r="G771" s="189"/>
      <c r="H771" s="189"/>
      <c r="I771" s="5"/>
      <c r="J771" s="6"/>
      <c r="K771" s="5"/>
      <c r="L771" s="189"/>
      <c r="M771" s="189"/>
      <c r="N771" s="189"/>
      <c r="O771" s="190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  <c r="AA771" s="185"/>
      <c r="AB771" s="185"/>
      <c r="AC771" s="185"/>
    </row>
    <row r="772" spans="1:29" ht="15.75" customHeight="1">
      <c r="A772" s="185"/>
      <c r="B772" s="189"/>
      <c r="C772" s="189"/>
      <c r="D772" s="189"/>
      <c r="E772" s="189"/>
      <c r="F772" s="189"/>
      <c r="G772" s="189"/>
      <c r="H772" s="189"/>
      <c r="I772" s="5"/>
      <c r="J772" s="6"/>
      <c r="K772" s="5"/>
      <c r="L772" s="189"/>
      <c r="M772" s="189"/>
      <c r="N772" s="189"/>
      <c r="O772" s="190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  <c r="AA772" s="185"/>
      <c r="AB772" s="185"/>
      <c r="AC772" s="185"/>
    </row>
    <row r="773" spans="1:29" ht="15.75" customHeight="1">
      <c r="A773" s="185"/>
      <c r="B773" s="189"/>
      <c r="C773" s="189"/>
      <c r="D773" s="189"/>
      <c r="E773" s="189"/>
      <c r="F773" s="189"/>
      <c r="G773" s="189"/>
      <c r="H773" s="189"/>
      <c r="I773" s="5"/>
      <c r="J773" s="6"/>
      <c r="K773" s="5"/>
      <c r="L773" s="189"/>
      <c r="M773" s="189"/>
      <c r="N773" s="189"/>
      <c r="O773" s="190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  <c r="AA773" s="185"/>
      <c r="AB773" s="185"/>
      <c r="AC773" s="185"/>
    </row>
    <row r="774" spans="1:29" ht="15.75" customHeight="1">
      <c r="A774" s="185"/>
      <c r="B774" s="189"/>
      <c r="C774" s="189"/>
      <c r="D774" s="189"/>
      <c r="E774" s="189"/>
      <c r="F774" s="189"/>
      <c r="G774" s="189"/>
      <c r="H774" s="189"/>
      <c r="I774" s="5"/>
      <c r="J774" s="6"/>
      <c r="K774" s="5"/>
      <c r="L774" s="189"/>
      <c r="M774" s="189"/>
      <c r="N774" s="189"/>
      <c r="O774" s="190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  <c r="AA774" s="185"/>
      <c r="AB774" s="185"/>
      <c r="AC774" s="185"/>
    </row>
    <row r="775" spans="1:29" ht="15.75" customHeight="1">
      <c r="A775" s="185"/>
      <c r="B775" s="189"/>
      <c r="C775" s="189"/>
      <c r="D775" s="189"/>
      <c r="E775" s="189"/>
      <c r="F775" s="189"/>
      <c r="G775" s="189"/>
      <c r="H775" s="189"/>
      <c r="I775" s="5"/>
      <c r="J775" s="6"/>
      <c r="K775" s="5"/>
      <c r="L775" s="189"/>
      <c r="M775" s="189"/>
      <c r="N775" s="189"/>
      <c r="O775" s="190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  <c r="AA775" s="185"/>
      <c r="AB775" s="185"/>
      <c r="AC775" s="185"/>
    </row>
    <row r="776" spans="1:29" ht="15.75" customHeight="1">
      <c r="A776" s="185"/>
      <c r="B776" s="189"/>
      <c r="C776" s="189"/>
      <c r="D776" s="189"/>
      <c r="E776" s="189"/>
      <c r="F776" s="189"/>
      <c r="G776" s="189"/>
      <c r="H776" s="189"/>
      <c r="I776" s="5"/>
      <c r="J776" s="6"/>
      <c r="K776" s="5"/>
      <c r="L776" s="189"/>
      <c r="M776" s="189"/>
      <c r="N776" s="189"/>
      <c r="O776" s="190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  <c r="AA776" s="185"/>
      <c r="AB776" s="185"/>
      <c r="AC776" s="185"/>
    </row>
    <row r="777" spans="1:29" ht="15.75" customHeight="1">
      <c r="A777" s="185"/>
      <c r="B777" s="189"/>
      <c r="C777" s="189"/>
      <c r="D777" s="189"/>
      <c r="E777" s="189"/>
      <c r="F777" s="189"/>
      <c r="G777" s="189"/>
      <c r="H777" s="189"/>
      <c r="I777" s="5"/>
      <c r="J777" s="6"/>
      <c r="K777" s="5"/>
      <c r="L777" s="189"/>
      <c r="M777" s="189"/>
      <c r="N777" s="189"/>
      <c r="O777" s="190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  <c r="AA777" s="185"/>
      <c r="AB777" s="185"/>
      <c r="AC777" s="185"/>
    </row>
    <row r="778" spans="1:29" ht="15.75" customHeight="1">
      <c r="A778" s="185"/>
      <c r="B778" s="189"/>
      <c r="C778" s="189"/>
      <c r="D778" s="189"/>
      <c r="E778" s="189"/>
      <c r="F778" s="189"/>
      <c r="G778" s="189"/>
      <c r="H778" s="189"/>
      <c r="I778" s="5"/>
      <c r="J778" s="6"/>
      <c r="K778" s="5"/>
      <c r="L778" s="189"/>
      <c r="M778" s="189"/>
      <c r="N778" s="189"/>
      <c r="O778" s="190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  <c r="AA778" s="185"/>
      <c r="AB778" s="185"/>
      <c r="AC778" s="185"/>
    </row>
    <row r="779" spans="1:29" ht="15.75" customHeight="1">
      <c r="A779" s="185"/>
      <c r="B779" s="189"/>
      <c r="C779" s="189"/>
      <c r="D779" s="189"/>
      <c r="E779" s="189"/>
      <c r="F779" s="189"/>
      <c r="G779" s="189"/>
      <c r="H779" s="189"/>
      <c r="I779" s="5"/>
      <c r="J779" s="6"/>
      <c r="K779" s="5"/>
      <c r="L779" s="189"/>
      <c r="M779" s="189"/>
      <c r="N779" s="189"/>
      <c r="O779" s="190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  <c r="AA779" s="185"/>
      <c r="AB779" s="185"/>
      <c r="AC779" s="185"/>
    </row>
    <row r="780" spans="1:29" ht="15.75" customHeight="1">
      <c r="A780" s="185"/>
      <c r="B780" s="189"/>
      <c r="C780" s="189"/>
      <c r="D780" s="189"/>
      <c r="E780" s="189"/>
      <c r="F780" s="189"/>
      <c r="G780" s="189"/>
      <c r="H780" s="189"/>
      <c r="I780" s="5"/>
      <c r="J780" s="6"/>
      <c r="K780" s="5"/>
      <c r="L780" s="189"/>
      <c r="M780" s="189"/>
      <c r="N780" s="189"/>
      <c r="O780" s="190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  <c r="AA780" s="185"/>
      <c r="AB780" s="185"/>
      <c r="AC780" s="185"/>
    </row>
    <row r="781" spans="1:29" ht="15.75" customHeight="1">
      <c r="A781" s="185"/>
      <c r="B781" s="189"/>
      <c r="C781" s="189"/>
      <c r="D781" s="189"/>
      <c r="E781" s="189"/>
      <c r="F781" s="189"/>
      <c r="G781" s="189"/>
      <c r="H781" s="189"/>
      <c r="I781" s="5"/>
      <c r="J781" s="6"/>
      <c r="K781" s="5"/>
      <c r="L781" s="189"/>
      <c r="M781" s="189"/>
      <c r="N781" s="189"/>
      <c r="O781" s="190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  <c r="AA781" s="185"/>
      <c r="AB781" s="185"/>
      <c r="AC781" s="185"/>
    </row>
    <row r="782" spans="1:29" ht="15.75" customHeight="1">
      <c r="A782" s="185"/>
      <c r="B782" s="189"/>
      <c r="C782" s="189"/>
      <c r="D782" s="189"/>
      <c r="E782" s="189"/>
      <c r="F782" s="189"/>
      <c r="G782" s="189"/>
      <c r="H782" s="189"/>
      <c r="I782" s="5"/>
      <c r="J782" s="6"/>
      <c r="K782" s="5"/>
      <c r="L782" s="189"/>
      <c r="M782" s="189"/>
      <c r="N782" s="189"/>
      <c r="O782" s="190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  <c r="AA782" s="185"/>
      <c r="AB782" s="185"/>
      <c r="AC782" s="185"/>
    </row>
    <row r="783" spans="1:29" ht="15.75" customHeight="1">
      <c r="A783" s="185"/>
      <c r="B783" s="189"/>
      <c r="C783" s="189"/>
      <c r="D783" s="189"/>
      <c r="E783" s="189"/>
      <c r="F783" s="189"/>
      <c r="G783" s="189"/>
      <c r="H783" s="189"/>
      <c r="I783" s="5"/>
      <c r="J783" s="6"/>
      <c r="K783" s="5"/>
      <c r="L783" s="189"/>
      <c r="M783" s="189"/>
      <c r="N783" s="189"/>
      <c r="O783" s="190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  <c r="AA783" s="185"/>
      <c r="AB783" s="185"/>
      <c r="AC783" s="185"/>
    </row>
    <row r="784" spans="1:29" ht="15.75" customHeight="1">
      <c r="A784" s="185"/>
      <c r="B784" s="189"/>
      <c r="C784" s="189"/>
      <c r="D784" s="189"/>
      <c r="E784" s="189"/>
      <c r="F784" s="189"/>
      <c r="G784" s="189"/>
      <c r="H784" s="189"/>
      <c r="I784" s="5"/>
      <c r="J784" s="6"/>
      <c r="K784" s="5"/>
      <c r="L784" s="189"/>
      <c r="M784" s="189"/>
      <c r="N784" s="189"/>
      <c r="O784" s="190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  <c r="AA784" s="185"/>
      <c r="AB784" s="185"/>
      <c r="AC784" s="185"/>
    </row>
    <row r="785" spans="1:29" ht="15.75" customHeight="1">
      <c r="A785" s="185"/>
      <c r="B785" s="189"/>
      <c r="C785" s="189"/>
      <c r="D785" s="189"/>
      <c r="E785" s="189"/>
      <c r="F785" s="189"/>
      <c r="G785" s="189"/>
      <c r="H785" s="189"/>
      <c r="I785" s="5"/>
      <c r="J785" s="6"/>
      <c r="K785" s="5"/>
      <c r="L785" s="189"/>
      <c r="M785" s="189"/>
      <c r="N785" s="189"/>
      <c r="O785" s="190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  <c r="AA785" s="185"/>
      <c r="AB785" s="185"/>
      <c r="AC785" s="185"/>
    </row>
    <row r="786" spans="1:29" ht="15.75" customHeight="1">
      <c r="A786" s="185"/>
      <c r="B786" s="189"/>
      <c r="C786" s="189"/>
      <c r="D786" s="189"/>
      <c r="E786" s="189"/>
      <c r="F786" s="189"/>
      <c r="G786" s="189"/>
      <c r="H786" s="189"/>
      <c r="I786" s="5"/>
      <c r="J786" s="6"/>
      <c r="K786" s="5"/>
      <c r="L786" s="189"/>
      <c r="M786" s="189"/>
      <c r="N786" s="189"/>
      <c r="O786" s="190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  <c r="AA786" s="185"/>
      <c r="AB786" s="185"/>
      <c r="AC786" s="185"/>
    </row>
    <row r="787" spans="1:29" ht="15.75" customHeight="1">
      <c r="A787" s="185"/>
      <c r="B787" s="189"/>
      <c r="C787" s="189"/>
      <c r="D787" s="189"/>
      <c r="E787" s="189"/>
      <c r="F787" s="189"/>
      <c r="G787" s="189"/>
      <c r="H787" s="189"/>
      <c r="I787" s="5"/>
      <c r="J787" s="6"/>
      <c r="K787" s="5"/>
      <c r="L787" s="189"/>
      <c r="M787" s="189"/>
      <c r="N787" s="189"/>
      <c r="O787" s="190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  <c r="AA787" s="185"/>
      <c r="AB787" s="185"/>
      <c r="AC787" s="185"/>
    </row>
    <row r="788" spans="1:29" ht="15.75" customHeight="1">
      <c r="A788" s="185"/>
      <c r="B788" s="189"/>
      <c r="C788" s="189"/>
      <c r="D788" s="189"/>
      <c r="E788" s="189"/>
      <c r="F788" s="189"/>
      <c r="G788" s="189"/>
      <c r="H788" s="189"/>
      <c r="I788" s="5"/>
      <c r="J788" s="6"/>
      <c r="K788" s="5"/>
      <c r="L788" s="189"/>
      <c r="M788" s="189"/>
      <c r="N788" s="189"/>
      <c r="O788" s="190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  <c r="AA788" s="185"/>
      <c r="AB788" s="185"/>
      <c r="AC788" s="185"/>
    </row>
    <row r="789" spans="1:29" ht="15.75" customHeight="1">
      <c r="A789" s="185"/>
      <c r="B789" s="189"/>
      <c r="C789" s="189"/>
      <c r="D789" s="189"/>
      <c r="E789" s="189"/>
      <c r="F789" s="189"/>
      <c r="G789" s="189"/>
      <c r="H789" s="189"/>
      <c r="I789" s="5"/>
      <c r="J789" s="6"/>
      <c r="K789" s="5"/>
      <c r="L789" s="189"/>
      <c r="M789" s="189"/>
      <c r="N789" s="189"/>
      <c r="O789" s="190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  <c r="AA789" s="185"/>
      <c r="AB789" s="185"/>
      <c r="AC789" s="185"/>
    </row>
    <row r="790" spans="1:29" ht="15.75" customHeight="1">
      <c r="A790" s="185"/>
      <c r="B790" s="189"/>
      <c r="C790" s="189"/>
      <c r="D790" s="189"/>
      <c r="E790" s="189"/>
      <c r="F790" s="189"/>
      <c r="G790" s="189"/>
      <c r="H790" s="189"/>
      <c r="I790" s="5"/>
      <c r="J790" s="6"/>
      <c r="K790" s="5"/>
      <c r="L790" s="189"/>
      <c r="M790" s="189"/>
      <c r="N790" s="189"/>
      <c r="O790" s="190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  <c r="AA790" s="185"/>
      <c r="AB790" s="185"/>
      <c r="AC790" s="185"/>
    </row>
    <row r="791" spans="1:29" ht="15.75" customHeight="1">
      <c r="A791" s="185"/>
      <c r="B791" s="189"/>
      <c r="C791" s="189"/>
      <c r="D791" s="189"/>
      <c r="E791" s="189"/>
      <c r="F791" s="189"/>
      <c r="G791" s="189"/>
      <c r="H791" s="189"/>
      <c r="I791" s="5"/>
      <c r="J791" s="6"/>
      <c r="K791" s="5"/>
      <c r="L791" s="189"/>
      <c r="M791" s="189"/>
      <c r="N791" s="189"/>
      <c r="O791" s="190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  <c r="AA791" s="185"/>
      <c r="AB791" s="185"/>
      <c r="AC791" s="185"/>
    </row>
    <row r="792" spans="1:29" ht="15.75" customHeight="1">
      <c r="A792" s="185"/>
      <c r="B792" s="189"/>
      <c r="C792" s="189"/>
      <c r="D792" s="189"/>
      <c r="E792" s="189"/>
      <c r="F792" s="189"/>
      <c r="G792" s="189"/>
      <c r="H792" s="189"/>
      <c r="I792" s="5"/>
      <c r="J792" s="6"/>
      <c r="K792" s="5"/>
      <c r="L792" s="189"/>
      <c r="M792" s="189"/>
      <c r="N792" s="189"/>
      <c r="O792" s="190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  <c r="AA792" s="185"/>
      <c r="AB792" s="185"/>
      <c r="AC792" s="185"/>
    </row>
    <row r="793" spans="1:29" ht="15.75" customHeight="1">
      <c r="A793" s="185"/>
      <c r="B793" s="189"/>
      <c r="C793" s="189"/>
      <c r="D793" s="189"/>
      <c r="E793" s="189"/>
      <c r="F793" s="189"/>
      <c r="G793" s="189"/>
      <c r="H793" s="189"/>
      <c r="I793" s="5"/>
      <c r="J793" s="6"/>
      <c r="K793" s="5"/>
      <c r="L793" s="189"/>
      <c r="M793" s="189"/>
      <c r="N793" s="189"/>
      <c r="O793" s="190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  <c r="AA793" s="185"/>
      <c r="AB793" s="185"/>
      <c r="AC793" s="185"/>
    </row>
    <row r="794" spans="1:29" ht="15.75" customHeight="1">
      <c r="A794" s="185"/>
      <c r="B794" s="189"/>
      <c r="C794" s="189"/>
      <c r="D794" s="189"/>
      <c r="E794" s="189"/>
      <c r="F794" s="189"/>
      <c r="G794" s="189"/>
      <c r="H794" s="189"/>
      <c r="I794" s="5"/>
      <c r="J794" s="6"/>
      <c r="K794" s="5"/>
      <c r="L794" s="189"/>
      <c r="M794" s="189"/>
      <c r="N794" s="189"/>
      <c r="O794" s="190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  <c r="AA794" s="185"/>
      <c r="AB794" s="185"/>
      <c r="AC794" s="185"/>
    </row>
    <row r="795" spans="1:29" ht="15.75" customHeight="1">
      <c r="A795" s="185"/>
      <c r="B795" s="189"/>
      <c r="C795" s="189"/>
      <c r="D795" s="189"/>
      <c r="E795" s="189"/>
      <c r="F795" s="189"/>
      <c r="G795" s="189"/>
      <c r="H795" s="189"/>
      <c r="I795" s="5"/>
      <c r="J795" s="6"/>
      <c r="K795" s="5"/>
      <c r="L795" s="189"/>
      <c r="M795" s="189"/>
      <c r="N795" s="189"/>
      <c r="O795" s="190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  <c r="AA795" s="185"/>
      <c r="AB795" s="185"/>
      <c r="AC795" s="185"/>
    </row>
    <row r="796" spans="1:29" ht="15.75" customHeight="1">
      <c r="A796" s="185"/>
      <c r="B796" s="189"/>
      <c r="C796" s="189"/>
      <c r="D796" s="189"/>
      <c r="E796" s="189"/>
      <c r="F796" s="189"/>
      <c r="G796" s="189"/>
      <c r="H796" s="189"/>
      <c r="I796" s="5"/>
      <c r="J796" s="6"/>
      <c r="K796" s="5"/>
      <c r="L796" s="189"/>
      <c r="M796" s="189"/>
      <c r="N796" s="189"/>
      <c r="O796" s="190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  <c r="AA796" s="185"/>
      <c r="AB796" s="185"/>
      <c r="AC796" s="185"/>
    </row>
    <row r="797" spans="1:29" ht="15.75" customHeight="1">
      <c r="A797" s="185"/>
      <c r="B797" s="189"/>
      <c r="C797" s="189"/>
      <c r="D797" s="189"/>
      <c r="E797" s="189"/>
      <c r="F797" s="189"/>
      <c r="G797" s="189"/>
      <c r="H797" s="189"/>
      <c r="I797" s="5"/>
      <c r="J797" s="6"/>
      <c r="K797" s="5"/>
      <c r="L797" s="189"/>
      <c r="M797" s="189"/>
      <c r="N797" s="189"/>
      <c r="O797" s="190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  <c r="AA797" s="185"/>
      <c r="AB797" s="185"/>
      <c r="AC797" s="185"/>
    </row>
    <row r="798" spans="1:29" ht="15.75" customHeight="1">
      <c r="A798" s="185"/>
      <c r="B798" s="189"/>
      <c r="C798" s="189"/>
      <c r="D798" s="189"/>
      <c r="E798" s="189"/>
      <c r="F798" s="189"/>
      <c r="G798" s="189"/>
      <c r="H798" s="189"/>
      <c r="I798" s="5"/>
      <c r="J798" s="6"/>
      <c r="K798" s="5"/>
      <c r="L798" s="189"/>
      <c r="M798" s="189"/>
      <c r="N798" s="189"/>
      <c r="O798" s="190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  <c r="AA798" s="185"/>
      <c r="AB798" s="185"/>
      <c r="AC798" s="185"/>
    </row>
    <row r="799" spans="1:29" ht="15.75" customHeight="1">
      <c r="A799" s="185"/>
      <c r="B799" s="189"/>
      <c r="C799" s="189"/>
      <c r="D799" s="189"/>
      <c r="E799" s="189"/>
      <c r="F799" s="189"/>
      <c r="G799" s="189"/>
      <c r="H799" s="189"/>
      <c r="I799" s="5"/>
      <c r="J799" s="6"/>
      <c r="K799" s="5"/>
      <c r="L799" s="189"/>
      <c r="M799" s="189"/>
      <c r="N799" s="189"/>
      <c r="O799" s="190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  <c r="AA799" s="185"/>
      <c r="AB799" s="185"/>
      <c r="AC799" s="185"/>
    </row>
    <row r="800" spans="1:29" ht="15.75" customHeight="1">
      <c r="A800" s="185"/>
      <c r="B800" s="189"/>
      <c r="C800" s="189"/>
      <c r="D800" s="189"/>
      <c r="E800" s="189"/>
      <c r="F800" s="189"/>
      <c r="G800" s="189"/>
      <c r="H800" s="189"/>
      <c r="I800" s="5"/>
      <c r="J800" s="6"/>
      <c r="K800" s="5"/>
      <c r="L800" s="189"/>
      <c r="M800" s="189"/>
      <c r="N800" s="189"/>
      <c r="O800" s="190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  <c r="AA800" s="185"/>
      <c r="AB800" s="185"/>
      <c r="AC800" s="185"/>
    </row>
    <row r="801" spans="1:29" ht="15.75" customHeight="1">
      <c r="A801" s="185"/>
      <c r="B801" s="189"/>
      <c r="C801" s="189"/>
      <c r="D801" s="189"/>
      <c r="E801" s="189"/>
      <c r="F801" s="189"/>
      <c r="G801" s="189"/>
      <c r="H801" s="189"/>
      <c r="I801" s="5"/>
      <c r="J801" s="6"/>
      <c r="K801" s="5"/>
      <c r="L801" s="189"/>
      <c r="M801" s="189"/>
      <c r="N801" s="189"/>
      <c r="O801" s="190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  <c r="AA801" s="185"/>
      <c r="AB801" s="185"/>
      <c r="AC801" s="185"/>
    </row>
    <row r="802" spans="1:29" ht="15.75" customHeight="1">
      <c r="A802" s="185"/>
      <c r="B802" s="189"/>
      <c r="C802" s="189"/>
      <c r="D802" s="189"/>
      <c r="E802" s="189"/>
      <c r="F802" s="189"/>
      <c r="G802" s="189"/>
      <c r="H802" s="189"/>
      <c r="I802" s="5"/>
      <c r="J802" s="6"/>
      <c r="K802" s="5"/>
      <c r="L802" s="189"/>
      <c r="M802" s="189"/>
      <c r="N802" s="189"/>
      <c r="O802" s="190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  <c r="AA802" s="185"/>
      <c r="AB802" s="185"/>
      <c r="AC802" s="185"/>
    </row>
    <row r="803" spans="1:29" ht="15.75" customHeight="1">
      <c r="A803" s="185"/>
      <c r="B803" s="189"/>
      <c r="C803" s="189"/>
      <c r="D803" s="189"/>
      <c r="E803" s="189"/>
      <c r="F803" s="189"/>
      <c r="G803" s="189"/>
      <c r="H803" s="189"/>
      <c r="I803" s="5"/>
      <c r="J803" s="6"/>
      <c r="K803" s="5"/>
      <c r="L803" s="189"/>
      <c r="M803" s="189"/>
      <c r="N803" s="189"/>
      <c r="O803" s="190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  <c r="AA803" s="185"/>
      <c r="AB803" s="185"/>
      <c r="AC803" s="185"/>
    </row>
    <row r="804" spans="1:29" ht="15.75" customHeight="1">
      <c r="A804" s="185"/>
      <c r="B804" s="189"/>
      <c r="C804" s="189"/>
      <c r="D804" s="189"/>
      <c r="E804" s="189"/>
      <c r="F804" s="189"/>
      <c r="G804" s="189"/>
      <c r="H804" s="189"/>
      <c r="I804" s="5"/>
      <c r="J804" s="6"/>
      <c r="K804" s="5"/>
      <c r="L804" s="189"/>
      <c r="M804" s="189"/>
      <c r="N804" s="189"/>
      <c r="O804" s="190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  <c r="AA804" s="185"/>
      <c r="AB804" s="185"/>
      <c r="AC804" s="185"/>
    </row>
    <row r="805" spans="1:29" ht="15.75" customHeight="1">
      <c r="A805" s="185"/>
      <c r="B805" s="189"/>
      <c r="C805" s="189"/>
      <c r="D805" s="189"/>
      <c r="E805" s="189"/>
      <c r="F805" s="189"/>
      <c r="G805" s="189"/>
      <c r="H805" s="189"/>
      <c r="I805" s="5"/>
      <c r="J805" s="6"/>
      <c r="K805" s="5"/>
      <c r="L805" s="189"/>
      <c r="M805" s="189"/>
      <c r="N805" s="189"/>
      <c r="O805" s="190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  <c r="AA805" s="185"/>
      <c r="AB805" s="185"/>
      <c r="AC805" s="185"/>
    </row>
    <row r="806" spans="1:29" ht="15.75" customHeight="1">
      <c r="A806" s="185"/>
      <c r="B806" s="189"/>
      <c r="C806" s="189"/>
      <c r="D806" s="189"/>
      <c r="E806" s="189"/>
      <c r="F806" s="189"/>
      <c r="G806" s="189"/>
      <c r="H806" s="189"/>
      <c r="I806" s="5"/>
      <c r="J806" s="6"/>
      <c r="K806" s="5"/>
      <c r="L806" s="189"/>
      <c r="M806" s="189"/>
      <c r="N806" s="189"/>
      <c r="O806" s="190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  <c r="AA806" s="185"/>
      <c r="AB806" s="185"/>
      <c r="AC806" s="185"/>
    </row>
    <row r="807" spans="1:29" ht="15.75" customHeight="1">
      <c r="A807" s="185"/>
      <c r="B807" s="189"/>
      <c r="C807" s="189"/>
      <c r="D807" s="189"/>
      <c r="E807" s="189"/>
      <c r="F807" s="189"/>
      <c r="G807" s="189"/>
      <c r="H807" s="189"/>
      <c r="I807" s="5"/>
      <c r="J807" s="6"/>
      <c r="K807" s="5"/>
      <c r="L807" s="189"/>
      <c r="M807" s="189"/>
      <c r="N807" s="189"/>
      <c r="O807" s="190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  <c r="AA807" s="185"/>
      <c r="AB807" s="185"/>
      <c r="AC807" s="185"/>
    </row>
    <row r="808" spans="1:29" ht="15.75" customHeight="1">
      <c r="A808" s="185"/>
      <c r="B808" s="189"/>
      <c r="C808" s="189"/>
      <c r="D808" s="189"/>
      <c r="E808" s="189"/>
      <c r="F808" s="189"/>
      <c r="G808" s="189"/>
      <c r="H808" s="189"/>
      <c r="I808" s="5"/>
      <c r="J808" s="6"/>
      <c r="K808" s="5"/>
      <c r="L808" s="189"/>
      <c r="M808" s="189"/>
      <c r="N808" s="189"/>
      <c r="O808" s="190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  <c r="AA808" s="185"/>
      <c r="AB808" s="185"/>
      <c r="AC808" s="185"/>
    </row>
    <row r="809" spans="1:29" ht="15.75" customHeight="1">
      <c r="A809" s="185"/>
      <c r="B809" s="189"/>
      <c r="C809" s="189"/>
      <c r="D809" s="189"/>
      <c r="E809" s="189"/>
      <c r="F809" s="189"/>
      <c r="G809" s="189"/>
      <c r="H809" s="189"/>
      <c r="I809" s="5"/>
      <c r="J809" s="6"/>
      <c r="K809" s="5"/>
      <c r="L809" s="189"/>
      <c r="M809" s="189"/>
      <c r="N809" s="189"/>
      <c r="O809" s="190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  <c r="AA809" s="185"/>
      <c r="AB809" s="185"/>
      <c r="AC809" s="185"/>
    </row>
    <row r="810" spans="1:29" ht="15.75" customHeight="1">
      <c r="A810" s="185"/>
      <c r="B810" s="189"/>
      <c r="C810" s="189"/>
      <c r="D810" s="189"/>
      <c r="E810" s="189"/>
      <c r="F810" s="189"/>
      <c r="G810" s="189"/>
      <c r="H810" s="189"/>
      <c r="I810" s="5"/>
      <c r="J810" s="6"/>
      <c r="K810" s="5"/>
      <c r="L810" s="189"/>
      <c r="M810" s="189"/>
      <c r="N810" s="189"/>
      <c r="O810" s="190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  <c r="AA810" s="185"/>
      <c r="AB810" s="185"/>
      <c r="AC810" s="185"/>
    </row>
    <row r="811" spans="1:29" ht="15.75" customHeight="1">
      <c r="A811" s="185"/>
      <c r="B811" s="189"/>
      <c r="C811" s="189"/>
      <c r="D811" s="189"/>
      <c r="E811" s="189"/>
      <c r="F811" s="189"/>
      <c r="G811" s="189"/>
      <c r="H811" s="189"/>
      <c r="I811" s="5"/>
      <c r="J811" s="6"/>
      <c r="K811" s="5"/>
      <c r="L811" s="189"/>
      <c r="M811" s="189"/>
      <c r="N811" s="189"/>
      <c r="O811" s="190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  <c r="AA811" s="185"/>
      <c r="AB811" s="185"/>
      <c r="AC811" s="185"/>
    </row>
    <row r="812" spans="1:29" ht="15.75" customHeight="1">
      <c r="A812" s="185"/>
      <c r="B812" s="189"/>
      <c r="C812" s="189"/>
      <c r="D812" s="189"/>
      <c r="E812" s="189"/>
      <c r="F812" s="189"/>
      <c r="G812" s="189"/>
      <c r="H812" s="189"/>
      <c r="I812" s="5"/>
      <c r="J812" s="6"/>
      <c r="K812" s="5"/>
      <c r="L812" s="189"/>
      <c r="M812" s="189"/>
      <c r="N812" s="189"/>
      <c r="O812" s="190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  <c r="AA812" s="185"/>
      <c r="AB812" s="185"/>
      <c r="AC812" s="185"/>
    </row>
    <row r="813" spans="1:29" ht="15.75" customHeight="1">
      <c r="A813" s="185"/>
      <c r="B813" s="189"/>
      <c r="C813" s="189"/>
      <c r="D813" s="189"/>
      <c r="E813" s="189"/>
      <c r="F813" s="189"/>
      <c r="G813" s="189"/>
      <c r="H813" s="189"/>
      <c r="I813" s="5"/>
      <c r="J813" s="6"/>
      <c r="K813" s="5"/>
      <c r="L813" s="189"/>
      <c r="M813" s="189"/>
      <c r="N813" s="189"/>
      <c r="O813" s="190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  <c r="AA813" s="185"/>
      <c r="AB813" s="185"/>
      <c r="AC813" s="185"/>
    </row>
    <row r="814" spans="1:29" ht="15.75" customHeight="1">
      <c r="A814" s="185"/>
      <c r="B814" s="189"/>
      <c r="C814" s="189"/>
      <c r="D814" s="189"/>
      <c r="E814" s="189"/>
      <c r="F814" s="189"/>
      <c r="G814" s="189"/>
      <c r="H814" s="189"/>
      <c r="I814" s="5"/>
      <c r="J814" s="6"/>
      <c r="K814" s="5"/>
      <c r="L814" s="189"/>
      <c r="M814" s="189"/>
      <c r="N814" s="189"/>
      <c r="O814" s="190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  <c r="AA814" s="185"/>
      <c r="AB814" s="185"/>
      <c r="AC814" s="185"/>
    </row>
    <row r="815" spans="1:29" ht="15.75" customHeight="1">
      <c r="A815" s="185"/>
      <c r="B815" s="189"/>
      <c r="C815" s="189"/>
      <c r="D815" s="189"/>
      <c r="E815" s="189"/>
      <c r="F815" s="189"/>
      <c r="G815" s="189"/>
      <c r="H815" s="189"/>
      <c r="I815" s="5"/>
      <c r="J815" s="6"/>
      <c r="K815" s="5"/>
      <c r="L815" s="189"/>
      <c r="M815" s="189"/>
      <c r="N815" s="189"/>
      <c r="O815" s="190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  <c r="AA815" s="185"/>
      <c r="AB815" s="185"/>
      <c r="AC815" s="185"/>
    </row>
    <row r="816" spans="1:29" ht="15.75" customHeight="1">
      <c r="A816" s="185"/>
      <c r="B816" s="189"/>
      <c r="C816" s="189"/>
      <c r="D816" s="189"/>
      <c r="E816" s="189"/>
      <c r="F816" s="189"/>
      <c r="G816" s="189"/>
      <c r="H816" s="189"/>
      <c r="I816" s="5"/>
      <c r="J816" s="6"/>
      <c r="K816" s="5"/>
      <c r="L816" s="189"/>
      <c r="M816" s="189"/>
      <c r="N816" s="189"/>
      <c r="O816" s="190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  <c r="AA816" s="185"/>
      <c r="AB816" s="185"/>
      <c r="AC816" s="185"/>
    </row>
    <row r="817" spans="1:29" ht="15.75" customHeight="1">
      <c r="A817" s="185"/>
      <c r="B817" s="189"/>
      <c r="C817" s="189"/>
      <c r="D817" s="189"/>
      <c r="E817" s="189"/>
      <c r="F817" s="189"/>
      <c r="G817" s="189"/>
      <c r="H817" s="189"/>
      <c r="I817" s="5"/>
      <c r="J817" s="6"/>
      <c r="K817" s="5"/>
      <c r="L817" s="189"/>
      <c r="M817" s="189"/>
      <c r="N817" s="189"/>
      <c r="O817" s="190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  <c r="AA817" s="185"/>
      <c r="AB817" s="185"/>
      <c r="AC817" s="185"/>
    </row>
    <row r="818" spans="1:29" ht="15.75" customHeight="1">
      <c r="A818" s="185"/>
      <c r="B818" s="189"/>
      <c r="C818" s="189"/>
      <c r="D818" s="189"/>
      <c r="E818" s="189"/>
      <c r="F818" s="189"/>
      <c r="G818" s="189"/>
      <c r="H818" s="189"/>
      <c r="I818" s="5"/>
      <c r="J818" s="6"/>
      <c r="K818" s="5"/>
      <c r="L818" s="189"/>
      <c r="M818" s="189"/>
      <c r="N818" s="189"/>
      <c r="O818" s="190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  <c r="AA818" s="185"/>
      <c r="AB818" s="185"/>
      <c r="AC818" s="185"/>
    </row>
    <row r="819" spans="1:29" ht="15.75" customHeight="1">
      <c r="A819" s="185"/>
      <c r="B819" s="189"/>
      <c r="C819" s="189"/>
      <c r="D819" s="189"/>
      <c r="E819" s="189"/>
      <c r="F819" s="189"/>
      <c r="G819" s="189"/>
      <c r="H819" s="189"/>
      <c r="I819" s="5"/>
      <c r="J819" s="6"/>
      <c r="K819" s="5"/>
      <c r="L819" s="189"/>
      <c r="M819" s="189"/>
      <c r="N819" s="189"/>
      <c r="O819" s="190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  <c r="AA819" s="185"/>
      <c r="AB819" s="185"/>
      <c r="AC819" s="185"/>
    </row>
    <row r="820" spans="1:29" ht="15.75" customHeight="1">
      <c r="A820" s="185"/>
      <c r="B820" s="189"/>
      <c r="C820" s="189"/>
      <c r="D820" s="189"/>
      <c r="E820" s="189"/>
      <c r="F820" s="189"/>
      <c r="G820" s="189"/>
      <c r="H820" s="189"/>
      <c r="I820" s="5"/>
      <c r="J820" s="6"/>
      <c r="K820" s="5"/>
      <c r="L820" s="189"/>
      <c r="M820" s="189"/>
      <c r="N820" s="189"/>
      <c r="O820" s="190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  <c r="AA820" s="185"/>
      <c r="AB820" s="185"/>
      <c r="AC820" s="185"/>
    </row>
    <row r="821" spans="1:29" ht="15.75" customHeight="1">
      <c r="A821" s="185"/>
      <c r="B821" s="189"/>
      <c r="C821" s="189"/>
      <c r="D821" s="189"/>
      <c r="E821" s="189"/>
      <c r="F821" s="189"/>
      <c r="G821" s="189"/>
      <c r="H821" s="189"/>
      <c r="I821" s="5"/>
      <c r="J821" s="6"/>
      <c r="K821" s="5"/>
      <c r="L821" s="189"/>
      <c r="M821" s="189"/>
      <c r="N821" s="189"/>
      <c r="O821" s="190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  <c r="AA821" s="185"/>
      <c r="AB821" s="185"/>
      <c r="AC821" s="185"/>
    </row>
    <row r="822" spans="1:29" ht="15.75" customHeight="1">
      <c r="A822" s="185"/>
      <c r="B822" s="189"/>
      <c r="C822" s="189"/>
      <c r="D822" s="189"/>
      <c r="E822" s="189"/>
      <c r="F822" s="189"/>
      <c r="G822" s="189"/>
      <c r="H822" s="189"/>
      <c r="I822" s="5"/>
      <c r="J822" s="6"/>
      <c r="K822" s="5"/>
      <c r="L822" s="189"/>
      <c r="M822" s="189"/>
      <c r="N822" s="189"/>
      <c r="O822" s="190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  <c r="AA822" s="185"/>
      <c r="AB822" s="185"/>
      <c r="AC822" s="185"/>
    </row>
    <row r="823" spans="1:29" ht="15.75" customHeight="1">
      <c r="A823" s="185"/>
      <c r="B823" s="189"/>
      <c r="C823" s="189"/>
      <c r="D823" s="189"/>
      <c r="E823" s="189"/>
      <c r="F823" s="189"/>
      <c r="G823" s="189"/>
      <c r="H823" s="189"/>
      <c r="I823" s="5"/>
      <c r="J823" s="6"/>
      <c r="K823" s="5"/>
      <c r="L823" s="189"/>
      <c r="M823" s="189"/>
      <c r="N823" s="189"/>
      <c r="O823" s="190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  <c r="AA823" s="185"/>
      <c r="AB823" s="185"/>
      <c r="AC823" s="185"/>
    </row>
    <row r="824" spans="1:29" ht="15.75" customHeight="1">
      <c r="A824" s="185"/>
      <c r="B824" s="189"/>
      <c r="C824" s="189"/>
      <c r="D824" s="189"/>
      <c r="E824" s="189"/>
      <c r="F824" s="189"/>
      <c r="G824" s="189"/>
      <c r="H824" s="189"/>
      <c r="I824" s="5"/>
      <c r="J824" s="6"/>
      <c r="K824" s="5"/>
      <c r="L824" s="189"/>
      <c r="M824" s="189"/>
      <c r="N824" s="189"/>
      <c r="O824" s="190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  <c r="AA824" s="185"/>
      <c r="AB824" s="185"/>
      <c r="AC824" s="185"/>
    </row>
    <row r="825" spans="1:29" ht="15.75" customHeight="1">
      <c r="A825" s="185"/>
      <c r="B825" s="189"/>
      <c r="C825" s="189"/>
      <c r="D825" s="189"/>
      <c r="E825" s="189"/>
      <c r="F825" s="189"/>
      <c r="G825" s="189"/>
      <c r="H825" s="189"/>
      <c r="I825" s="5"/>
      <c r="J825" s="6"/>
      <c r="K825" s="5"/>
      <c r="L825" s="189"/>
      <c r="M825" s="189"/>
      <c r="N825" s="189"/>
      <c r="O825" s="190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  <c r="AA825" s="185"/>
      <c r="AB825" s="185"/>
      <c r="AC825" s="185"/>
    </row>
    <row r="826" spans="1:29" ht="15.75" customHeight="1">
      <c r="A826" s="185"/>
      <c r="B826" s="189"/>
      <c r="C826" s="189"/>
      <c r="D826" s="189"/>
      <c r="E826" s="189"/>
      <c r="F826" s="189"/>
      <c r="G826" s="189"/>
      <c r="H826" s="189"/>
      <c r="I826" s="5"/>
      <c r="J826" s="6"/>
      <c r="K826" s="5"/>
      <c r="L826" s="189"/>
      <c r="M826" s="189"/>
      <c r="N826" s="189"/>
      <c r="O826" s="190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  <c r="AA826" s="185"/>
      <c r="AB826" s="185"/>
      <c r="AC826" s="185"/>
    </row>
    <row r="827" spans="1:29" ht="15.75" customHeight="1">
      <c r="A827" s="185"/>
      <c r="B827" s="189"/>
      <c r="C827" s="189"/>
      <c r="D827" s="189"/>
      <c r="E827" s="189"/>
      <c r="F827" s="189"/>
      <c r="G827" s="189"/>
      <c r="H827" s="189"/>
      <c r="I827" s="5"/>
      <c r="J827" s="6"/>
      <c r="K827" s="5"/>
      <c r="L827" s="189"/>
      <c r="M827" s="189"/>
      <c r="N827" s="189"/>
      <c r="O827" s="190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  <c r="AA827" s="185"/>
      <c r="AB827" s="185"/>
      <c r="AC827" s="185"/>
    </row>
    <row r="828" spans="1:29" ht="15.75" customHeight="1">
      <c r="A828" s="185"/>
      <c r="B828" s="189"/>
      <c r="C828" s="189"/>
      <c r="D828" s="189"/>
      <c r="E828" s="189"/>
      <c r="F828" s="189"/>
      <c r="G828" s="189"/>
      <c r="H828" s="189"/>
      <c r="I828" s="5"/>
      <c r="J828" s="6"/>
      <c r="K828" s="5"/>
      <c r="L828" s="189"/>
      <c r="M828" s="189"/>
      <c r="N828" s="189"/>
      <c r="O828" s="190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  <c r="AA828" s="185"/>
      <c r="AB828" s="185"/>
      <c r="AC828" s="185"/>
    </row>
    <row r="829" spans="1:29" ht="15.75" customHeight="1">
      <c r="A829" s="185"/>
      <c r="B829" s="189"/>
      <c r="C829" s="189"/>
      <c r="D829" s="189"/>
      <c r="E829" s="189"/>
      <c r="F829" s="189"/>
      <c r="G829" s="189"/>
      <c r="H829" s="189"/>
      <c r="I829" s="5"/>
      <c r="J829" s="6"/>
      <c r="K829" s="5"/>
      <c r="L829" s="189"/>
      <c r="M829" s="189"/>
      <c r="N829" s="189"/>
      <c r="O829" s="190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  <c r="AA829" s="185"/>
      <c r="AB829" s="185"/>
      <c r="AC829" s="185"/>
    </row>
    <row r="830" spans="1:29" ht="15.75" customHeight="1">
      <c r="A830" s="185"/>
      <c r="B830" s="189"/>
      <c r="C830" s="189"/>
      <c r="D830" s="189"/>
      <c r="E830" s="189"/>
      <c r="F830" s="189"/>
      <c r="G830" s="189"/>
      <c r="H830" s="189"/>
      <c r="I830" s="5"/>
      <c r="J830" s="6"/>
      <c r="K830" s="5"/>
      <c r="L830" s="189"/>
      <c r="M830" s="189"/>
      <c r="N830" s="189"/>
      <c r="O830" s="190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  <c r="AA830" s="185"/>
      <c r="AB830" s="185"/>
      <c r="AC830" s="185"/>
    </row>
    <row r="831" spans="1:29" ht="15.75" customHeight="1">
      <c r="A831" s="185"/>
      <c r="B831" s="189"/>
      <c r="C831" s="189"/>
      <c r="D831" s="189"/>
      <c r="E831" s="189"/>
      <c r="F831" s="189"/>
      <c r="G831" s="189"/>
      <c r="H831" s="189"/>
      <c r="I831" s="5"/>
      <c r="J831" s="6"/>
      <c r="K831" s="5"/>
      <c r="L831" s="189"/>
      <c r="M831" s="189"/>
      <c r="N831" s="189"/>
      <c r="O831" s="190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  <c r="AA831" s="185"/>
      <c r="AB831" s="185"/>
      <c r="AC831" s="185"/>
    </row>
    <row r="832" spans="1:29" ht="15.75" customHeight="1">
      <c r="A832" s="185"/>
      <c r="B832" s="189"/>
      <c r="C832" s="189"/>
      <c r="D832" s="189"/>
      <c r="E832" s="189"/>
      <c r="F832" s="189"/>
      <c r="G832" s="189"/>
      <c r="H832" s="189"/>
      <c r="I832" s="5"/>
      <c r="J832" s="6"/>
      <c r="K832" s="5"/>
      <c r="L832" s="189"/>
      <c r="M832" s="189"/>
      <c r="N832" s="189"/>
      <c r="O832" s="190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  <c r="AA832" s="185"/>
      <c r="AB832" s="185"/>
      <c r="AC832" s="185"/>
    </row>
    <row r="833" spans="1:29" ht="15.75" customHeight="1">
      <c r="A833" s="185"/>
      <c r="B833" s="189"/>
      <c r="C833" s="189"/>
      <c r="D833" s="189"/>
      <c r="E833" s="189"/>
      <c r="F833" s="189"/>
      <c r="G833" s="189"/>
      <c r="H833" s="189"/>
      <c r="I833" s="5"/>
      <c r="J833" s="6"/>
      <c r="K833" s="5"/>
      <c r="L833" s="189"/>
      <c r="M833" s="189"/>
      <c r="N833" s="189"/>
      <c r="O833" s="190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  <c r="AA833" s="185"/>
      <c r="AB833" s="185"/>
      <c r="AC833" s="185"/>
    </row>
    <row r="834" spans="1:29" ht="15.75" customHeight="1">
      <c r="A834" s="185"/>
      <c r="B834" s="189"/>
      <c r="C834" s="189"/>
      <c r="D834" s="189"/>
      <c r="E834" s="189"/>
      <c r="F834" s="189"/>
      <c r="G834" s="189"/>
      <c r="H834" s="189"/>
      <c r="I834" s="5"/>
      <c r="J834" s="6"/>
      <c r="K834" s="5"/>
      <c r="L834" s="189"/>
      <c r="M834" s="189"/>
      <c r="N834" s="189"/>
      <c r="O834" s="190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  <c r="AA834" s="185"/>
      <c r="AB834" s="185"/>
      <c r="AC834" s="185"/>
    </row>
    <row r="835" spans="1:29" ht="15.75" customHeight="1">
      <c r="A835" s="185"/>
      <c r="B835" s="189"/>
      <c r="C835" s="189"/>
      <c r="D835" s="189"/>
      <c r="E835" s="189"/>
      <c r="F835" s="189"/>
      <c r="G835" s="189"/>
      <c r="H835" s="189"/>
      <c r="I835" s="5"/>
      <c r="J835" s="6"/>
      <c r="K835" s="5"/>
      <c r="L835" s="189"/>
      <c r="M835" s="189"/>
      <c r="N835" s="189"/>
      <c r="O835" s="190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  <c r="AA835" s="185"/>
      <c r="AB835" s="185"/>
      <c r="AC835" s="185"/>
    </row>
    <row r="836" spans="1:29" ht="15.75" customHeight="1">
      <c r="A836" s="185"/>
      <c r="B836" s="189"/>
      <c r="C836" s="189"/>
      <c r="D836" s="189"/>
      <c r="E836" s="189"/>
      <c r="F836" s="189"/>
      <c r="G836" s="189"/>
      <c r="H836" s="189"/>
      <c r="I836" s="5"/>
      <c r="J836" s="6"/>
      <c r="K836" s="5"/>
      <c r="L836" s="189"/>
      <c r="M836" s="189"/>
      <c r="N836" s="189"/>
      <c r="O836" s="190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  <c r="AA836" s="185"/>
      <c r="AB836" s="185"/>
      <c r="AC836" s="185"/>
    </row>
    <row r="837" spans="1:29" ht="15.75" customHeight="1">
      <c r="A837" s="185"/>
      <c r="B837" s="189"/>
      <c r="C837" s="189"/>
      <c r="D837" s="189"/>
      <c r="E837" s="189"/>
      <c r="F837" s="189"/>
      <c r="G837" s="189"/>
      <c r="H837" s="189"/>
      <c r="I837" s="5"/>
      <c r="J837" s="6"/>
      <c r="K837" s="5"/>
      <c r="L837" s="189"/>
      <c r="M837" s="189"/>
      <c r="N837" s="189"/>
      <c r="O837" s="190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  <c r="AA837" s="185"/>
      <c r="AB837" s="185"/>
      <c r="AC837" s="185"/>
    </row>
    <row r="838" spans="1:29" ht="15.75" customHeight="1">
      <c r="A838" s="185"/>
      <c r="B838" s="189"/>
      <c r="C838" s="189"/>
      <c r="D838" s="189"/>
      <c r="E838" s="189"/>
      <c r="F838" s="189"/>
      <c r="G838" s="189"/>
      <c r="H838" s="189"/>
      <c r="I838" s="5"/>
      <c r="J838" s="6"/>
      <c r="K838" s="5"/>
      <c r="L838" s="189"/>
      <c r="M838" s="189"/>
      <c r="N838" s="189"/>
      <c r="O838" s="190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  <c r="AA838" s="185"/>
      <c r="AB838" s="185"/>
      <c r="AC838" s="185"/>
    </row>
    <row r="839" spans="1:29" ht="15.75" customHeight="1">
      <c r="A839" s="185"/>
      <c r="B839" s="189"/>
      <c r="C839" s="189"/>
      <c r="D839" s="189"/>
      <c r="E839" s="189"/>
      <c r="F839" s="189"/>
      <c r="G839" s="189"/>
      <c r="H839" s="189"/>
      <c r="I839" s="5"/>
      <c r="J839" s="6"/>
      <c r="K839" s="5"/>
      <c r="L839" s="189"/>
      <c r="M839" s="189"/>
      <c r="N839" s="189"/>
      <c r="O839" s="190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  <c r="AA839" s="185"/>
      <c r="AB839" s="185"/>
      <c r="AC839" s="185"/>
    </row>
    <row r="840" spans="1:29" ht="15.75" customHeight="1">
      <c r="A840" s="185"/>
      <c r="B840" s="189"/>
      <c r="C840" s="189"/>
      <c r="D840" s="189"/>
      <c r="E840" s="189"/>
      <c r="F840" s="189"/>
      <c r="G840" s="189"/>
      <c r="H840" s="189"/>
      <c r="I840" s="5"/>
      <c r="J840" s="6"/>
      <c r="K840" s="5"/>
      <c r="L840" s="189"/>
      <c r="M840" s="189"/>
      <c r="N840" s="189"/>
      <c r="O840" s="190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  <c r="AA840" s="185"/>
      <c r="AB840" s="185"/>
      <c r="AC840" s="185"/>
    </row>
    <row r="841" spans="1:29" ht="15.75" customHeight="1">
      <c r="A841" s="185"/>
      <c r="B841" s="189"/>
      <c r="C841" s="189"/>
      <c r="D841" s="189"/>
      <c r="E841" s="189"/>
      <c r="F841" s="189"/>
      <c r="G841" s="189"/>
      <c r="H841" s="189"/>
      <c r="I841" s="5"/>
      <c r="J841" s="6"/>
      <c r="K841" s="5"/>
      <c r="L841" s="189"/>
      <c r="M841" s="189"/>
      <c r="N841" s="189"/>
      <c r="O841" s="190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  <c r="AA841" s="185"/>
      <c r="AB841" s="185"/>
      <c r="AC841" s="185"/>
    </row>
    <row r="842" spans="1:29" ht="15.75" customHeight="1">
      <c r="A842" s="185"/>
      <c r="B842" s="189"/>
      <c r="C842" s="189"/>
      <c r="D842" s="189"/>
      <c r="E842" s="189"/>
      <c r="F842" s="189"/>
      <c r="G842" s="189"/>
      <c r="H842" s="189"/>
      <c r="I842" s="5"/>
      <c r="J842" s="6"/>
      <c r="K842" s="5"/>
      <c r="L842" s="189"/>
      <c r="M842" s="189"/>
      <c r="N842" s="189"/>
      <c r="O842" s="190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  <c r="AA842" s="185"/>
      <c r="AB842" s="185"/>
      <c r="AC842" s="185"/>
    </row>
    <row r="843" spans="1:29" ht="15.75" customHeight="1">
      <c r="A843" s="185"/>
      <c r="B843" s="189"/>
      <c r="C843" s="189"/>
      <c r="D843" s="189"/>
      <c r="E843" s="189"/>
      <c r="F843" s="189"/>
      <c r="G843" s="189"/>
      <c r="H843" s="189"/>
      <c r="I843" s="5"/>
      <c r="J843" s="6"/>
      <c r="K843" s="5"/>
      <c r="L843" s="189"/>
      <c r="M843" s="189"/>
      <c r="N843" s="189"/>
      <c r="O843" s="190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  <c r="AA843" s="185"/>
      <c r="AB843" s="185"/>
      <c r="AC843" s="185"/>
    </row>
    <row r="844" spans="1:29" ht="15.75" customHeight="1">
      <c r="A844" s="185"/>
      <c r="B844" s="189"/>
      <c r="C844" s="189"/>
      <c r="D844" s="189"/>
      <c r="E844" s="189"/>
      <c r="F844" s="189"/>
      <c r="G844" s="189"/>
      <c r="H844" s="189"/>
      <c r="I844" s="5"/>
      <c r="J844" s="6"/>
      <c r="K844" s="5"/>
      <c r="L844" s="189"/>
      <c r="M844" s="189"/>
      <c r="N844" s="189"/>
      <c r="O844" s="190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  <c r="AA844" s="185"/>
      <c r="AB844" s="185"/>
      <c r="AC844" s="185"/>
    </row>
    <row r="845" spans="1:29" ht="15.75" customHeight="1">
      <c r="A845" s="185"/>
      <c r="B845" s="189"/>
      <c r="C845" s="189"/>
      <c r="D845" s="189"/>
      <c r="E845" s="189"/>
      <c r="F845" s="189"/>
      <c r="G845" s="189"/>
      <c r="H845" s="189"/>
      <c r="I845" s="5"/>
      <c r="J845" s="6"/>
      <c r="K845" s="5"/>
      <c r="L845" s="189"/>
      <c r="M845" s="189"/>
      <c r="N845" s="189"/>
      <c r="O845" s="190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  <c r="AA845" s="185"/>
      <c r="AB845" s="185"/>
      <c r="AC845" s="185"/>
    </row>
    <row r="846" spans="1:29" ht="15.75" customHeight="1">
      <c r="A846" s="185"/>
      <c r="B846" s="189"/>
      <c r="C846" s="189"/>
      <c r="D846" s="189"/>
      <c r="E846" s="189"/>
      <c r="F846" s="189"/>
      <c r="G846" s="189"/>
      <c r="H846" s="189"/>
      <c r="I846" s="5"/>
      <c r="J846" s="6"/>
      <c r="K846" s="5"/>
      <c r="L846" s="189"/>
      <c r="M846" s="189"/>
      <c r="N846" s="189"/>
      <c r="O846" s="190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  <c r="AA846" s="185"/>
      <c r="AB846" s="185"/>
      <c r="AC846" s="185"/>
    </row>
    <row r="847" spans="1:29" ht="15.75" customHeight="1">
      <c r="A847" s="185"/>
      <c r="B847" s="189"/>
      <c r="C847" s="189"/>
      <c r="D847" s="189"/>
      <c r="E847" s="189"/>
      <c r="F847" s="189"/>
      <c r="G847" s="189"/>
      <c r="H847" s="189"/>
      <c r="I847" s="5"/>
      <c r="J847" s="6"/>
      <c r="K847" s="5"/>
      <c r="L847" s="189"/>
      <c r="M847" s="189"/>
      <c r="N847" s="189"/>
      <c r="O847" s="190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  <c r="AA847" s="185"/>
      <c r="AB847" s="185"/>
      <c r="AC847" s="185"/>
    </row>
    <row r="848" spans="1:29" ht="15.75" customHeight="1">
      <c r="A848" s="185"/>
      <c r="B848" s="189"/>
      <c r="C848" s="189"/>
      <c r="D848" s="189"/>
      <c r="E848" s="189"/>
      <c r="F848" s="189"/>
      <c r="G848" s="189"/>
      <c r="H848" s="189"/>
      <c r="I848" s="5"/>
      <c r="J848" s="6"/>
      <c r="K848" s="5"/>
      <c r="L848" s="189"/>
      <c r="M848" s="189"/>
      <c r="N848" s="189"/>
      <c r="O848" s="190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  <c r="AA848" s="185"/>
      <c r="AB848" s="185"/>
      <c r="AC848" s="185"/>
    </row>
    <row r="849" spans="1:29" ht="15.75" customHeight="1">
      <c r="A849" s="185"/>
      <c r="B849" s="189"/>
      <c r="C849" s="189"/>
      <c r="D849" s="189"/>
      <c r="E849" s="189"/>
      <c r="F849" s="189"/>
      <c r="G849" s="189"/>
      <c r="H849" s="189"/>
      <c r="I849" s="5"/>
      <c r="J849" s="6"/>
      <c r="K849" s="5"/>
      <c r="L849" s="189"/>
      <c r="M849" s="189"/>
      <c r="N849" s="189"/>
      <c r="O849" s="190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  <c r="AA849" s="185"/>
      <c r="AB849" s="185"/>
      <c r="AC849" s="185"/>
    </row>
    <row r="850" spans="1:29" ht="15.75" customHeight="1">
      <c r="A850" s="185"/>
      <c r="B850" s="189"/>
      <c r="C850" s="189"/>
      <c r="D850" s="189"/>
      <c r="E850" s="189"/>
      <c r="F850" s="189"/>
      <c r="G850" s="189"/>
      <c r="H850" s="189"/>
      <c r="I850" s="5"/>
      <c r="J850" s="6"/>
      <c r="K850" s="5"/>
      <c r="L850" s="189"/>
      <c r="M850" s="189"/>
      <c r="N850" s="189"/>
      <c r="O850" s="190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  <c r="AA850" s="185"/>
      <c r="AB850" s="185"/>
      <c r="AC850" s="185"/>
    </row>
    <row r="851" spans="1:29" ht="15.75" customHeight="1">
      <c r="A851" s="185"/>
      <c r="B851" s="189"/>
      <c r="C851" s="189"/>
      <c r="D851" s="189"/>
      <c r="E851" s="189"/>
      <c r="F851" s="189"/>
      <c r="G851" s="189"/>
      <c r="H851" s="189"/>
      <c r="I851" s="5"/>
      <c r="J851" s="6"/>
      <c r="K851" s="5"/>
      <c r="L851" s="189"/>
      <c r="M851" s="189"/>
      <c r="N851" s="189"/>
      <c r="O851" s="190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  <c r="AA851" s="185"/>
      <c r="AB851" s="185"/>
      <c r="AC851" s="185"/>
    </row>
    <row r="852" spans="1:29" ht="15.75" customHeight="1">
      <c r="A852" s="185"/>
      <c r="B852" s="189"/>
      <c r="C852" s="189"/>
      <c r="D852" s="189"/>
      <c r="E852" s="189"/>
      <c r="F852" s="189"/>
      <c r="G852" s="189"/>
      <c r="H852" s="189"/>
      <c r="I852" s="5"/>
      <c r="J852" s="6"/>
      <c r="K852" s="5"/>
      <c r="L852" s="189"/>
      <c r="M852" s="189"/>
      <c r="N852" s="189"/>
      <c r="O852" s="190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  <c r="AA852" s="185"/>
      <c r="AB852" s="185"/>
      <c r="AC852" s="185"/>
    </row>
    <row r="853" spans="1:29" ht="15.75" customHeight="1">
      <c r="A853" s="185"/>
      <c r="B853" s="189"/>
      <c r="C853" s="189"/>
      <c r="D853" s="189"/>
      <c r="E853" s="189"/>
      <c r="F853" s="189"/>
      <c r="G853" s="189"/>
      <c r="H853" s="189"/>
      <c r="I853" s="5"/>
      <c r="J853" s="6"/>
      <c r="K853" s="5"/>
      <c r="L853" s="189"/>
      <c r="M853" s="189"/>
      <c r="N853" s="189"/>
      <c r="O853" s="190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  <c r="AA853" s="185"/>
      <c r="AB853" s="185"/>
      <c r="AC853" s="185"/>
    </row>
    <row r="854" spans="1:29" ht="15.75" customHeight="1">
      <c r="A854" s="185"/>
      <c r="B854" s="189"/>
      <c r="C854" s="189"/>
      <c r="D854" s="189"/>
      <c r="E854" s="189"/>
      <c r="F854" s="189"/>
      <c r="G854" s="189"/>
      <c r="H854" s="189"/>
      <c r="I854" s="5"/>
      <c r="J854" s="6"/>
      <c r="K854" s="5"/>
      <c r="L854" s="189"/>
      <c r="M854" s="189"/>
      <c r="N854" s="189"/>
      <c r="O854" s="190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  <c r="AA854" s="185"/>
      <c r="AB854" s="185"/>
      <c r="AC854" s="185"/>
    </row>
    <row r="855" spans="1:29" ht="15.75" customHeight="1">
      <c r="A855" s="185"/>
      <c r="B855" s="189"/>
      <c r="C855" s="189"/>
      <c r="D855" s="189"/>
      <c r="E855" s="189"/>
      <c r="F855" s="189"/>
      <c r="G855" s="189"/>
      <c r="H855" s="189"/>
      <c r="I855" s="5"/>
      <c r="J855" s="6"/>
      <c r="K855" s="5"/>
      <c r="L855" s="189"/>
      <c r="M855" s="189"/>
      <c r="N855" s="189"/>
      <c r="O855" s="190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  <c r="AA855" s="185"/>
      <c r="AB855" s="185"/>
      <c r="AC855" s="185"/>
    </row>
    <row r="856" spans="1:29" ht="15.75" customHeight="1">
      <c r="A856" s="185"/>
      <c r="B856" s="189"/>
      <c r="C856" s="189"/>
      <c r="D856" s="189"/>
      <c r="E856" s="189"/>
      <c r="F856" s="189"/>
      <c r="G856" s="189"/>
      <c r="H856" s="189"/>
      <c r="I856" s="5"/>
      <c r="J856" s="6"/>
      <c r="K856" s="5"/>
      <c r="L856" s="189"/>
      <c r="M856" s="189"/>
      <c r="N856" s="189"/>
      <c r="O856" s="190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  <c r="AA856" s="185"/>
      <c r="AB856" s="185"/>
      <c r="AC856" s="185"/>
    </row>
    <row r="857" spans="1:29" ht="15.75" customHeight="1">
      <c r="A857" s="185"/>
      <c r="B857" s="189"/>
      <c r="C857" s="189"/>
      <c r="D857" s="189"/>
      <c r="E857" s="189"/>
      <c r="F857" s="189"/>
      <c r="G857" s="189"/>
      <c r="H857" s="189"/>
      <c r="I857" s="5"/>
      <c r="J857" s="6"/>
      <c r="K857" s="5"/>
      <c r="L857" s="189"/>
      <c r="M857" s="189"/>
      <c r="N857" s="189"/>
      <c r="O857" s="190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  <c r="AA857" s="185"/>
      <c r="AB857" s="185"/>
      <c r="AC857" s="185"/>
    </row>
    <row r="858" spans="1:29" ht="15.75" customHeight="1">
      <c r="A858" s="185"/>
      <c r="B858" s="189"/>
      <c r="C858" s="189"/>
      <c r="D858" s="189"/>
      <c r="E858" s="189"/>
      <c r="F858" s="189"/>
      <c r="G858" s="189"/>
      <c r="H858" s="189"/>
      <c r="I858" s="5"/>
      <c r="J858" s="6"/>
      <c r="K858" s="5"/>
      <c r="L858" s="189"/>
      <c r="M858" s="189"/>
      <c r="N858" s="189"/>
      <c r="O858" s="190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  <c r="AA858" s="185"/>
      <c r="AB858" s="185"/>
      <c r="AC858" s="185"/>
    </row>
    <row r="859" spans="1:29" ht="15.75" customHeight="1">
      <c r="A859" s="185"/>
      <c r="B859" s="189"/>
      <c r="C859" s="189"/>
      <c r="D859" s="189"/>
      <c r="E859" s="189"/>
      <c r="F859" s="189"/>
      <c r="G859" s="189"/>
      <c r="H859" s="189"/>
      <c r="I859" s="5"/>
      <c r="J859" s="6"/>
      <c r="K859" s="5"/>
      <c r="L859" s="189"/>
      <c r="M859" s="189"/>
      <c r="N859" s="189"/>
      <c r="O859" s="190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  <c r="AA859" s="185"/>
      <c r="AB859" s="185"/>
      <c r="AC859" s="185"/>
    </row>
    <row r="860" spans="1:29" ht="15.75" customHeight="1">
      <c r="A860" s="185"/>
      <c r="B860" s="189"/>
      <c r="C860" s="189"/>
      <c r="D860" s="189"/>
      <c r="E860" s="189"/>
      <c r="F860" s="189"/>
      <c r="G860" s="189"/>
      <c r="H860" s="189"/>
      <c r="I860" s="5"/>
      <c r="J860" s="6"/>
      <c r="K860" s="5"/>
      <c r="L860" s="189"/>
      <c r="M860" s="189"/>
      <c r="N860" s="189"/>
      <c r="O860" s="190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  <c r="AA860" s="185"/>
      <c r="AB860" s="185"/>
      <c r="AC860" s="185"/>
    </row>
    <row r="861" spans="1:29" ht="15.75" customHeight="1">
      <c r="A861" s="185"/>
      <c r="B861" s="189"/>
      <c r="C861" s="189"/>
      <c r="D861" s="189"/>
      <c r="E861" s="189"/>
      <c r="F861" s="189"/>
      <c r="G861" s="189"/>
      <c r="H861" s="189"/>
      <c r="I861" s="5"/>
      <c r="J861" s="6"/>
      <c r="K861" s="5"/>
      <c r="L861" s="189"/>
      <c r="M861" s="189"/>
      <c r="N861" s="189"/>
      <c r="O861" s="190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  <c r="AA861" s="185"/>
      <c r="AB861" s="185"/>
      <c r="AC861" s="185"/>
    </row>
    <row r="862" spans="1:29" ht="15.75" customHeight="1">
      <c r="A862" s="185"/>
      <c r="B862" s="189"/>
      <c r="C862" s="189"/>
      <c r="D862" s="189"/>
      <c r="E862" s="189"/>
      <c r="F862" s="189"/>
      <c r="G862" s="189"/>
      <c r="H862" s="189"/>
      <c r="I862" s="5"/>
      <c r="J862" s="6"/>
      <c r="K862" s="5"/>
      <c r="L862" s="189"/>
      <c r="M862" s="189"/>
      <c r="N862" s="189"/>
      <c r="O862" s="190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  <c r="AA862" s="185"/>
      <c r="AB862" s="185"/>
      <c r="AC862" s="185"/>
    </row>
    <row r="863" spans="1:29" ht="15.75" customHeight="1">
      <c r="A863" s="185"/>
      <c r="B863" s="189"/>
      <c r="C863" s="189"/>
      <c r="D863" s="189"/>
      <c r="E863" s="189"/>
      <c r="F863" s="189"/>
      <c r="G863" s="189"/>
      <c r="H863" s="189"/>
      <c r="I863" s="5"/>
      <c r="J863" s="6"/>
      <c r="K863" s="5"/>
      <c r="L863" s="189"/>
      <c r="M863" s="189"/>
      <c r="N863" s="189"/>
      <c r="O863" s="190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  <c r="AA863" s="185"/>
      <c r="AB863" s="185"/>
      <c r="AC863" s="185"/>
    </row>
    <row r="864" spans="1:29" ht="15.75" customHeight="1">
      <c r="A864" s="185"/>
      <c r="B864" s="189"/>
      <c r="C864" s="189"/>
      <c r="D864" s="189"/>
      <c r="E864" s="189"/>
      <c r="F864" s="189"/>
      <c r="G864" s="189"/>
      <c r="H864" s="189"/>
      <c r="I864" s="5"/>
      <c r="J864" s="6"/>
      <c r="K864" s="5"/>
      <c r="L864" s="189"/>
      <c r="M864" s="189"/>
      <c r="N864" s="189"/>
      <c r="O864" s="190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  <c r="AA864" s="185"/>
      <c r="AB864" s="185"/>
      <c r="AC864" s="185"/>
    </row>
    <row r="865" spans="1:29" ht="15.75" customHeight="1">
      <c r="A865" s="185"/>
      <c r="B865" s="189"/>
      <c r="C865" s="189"/>
      <c r="D865" s="189"/>
      <c r="E865" s="189"/>
      <c r="F865" s="189"/>
      <c r="G865" s="189"/>
      <c r="H865" s="189"/>
      <c r="I865" s="5"/>
      <c r="J865" s="6"/>
      <c r="K865" s="5"/>
      <c r="L865" s="189"/>
      <c r="M865" s="189"/>
      <c r="N865" s="189"/>
      <c r="O865" s="190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  <c r="AA865" s="185"/>
      <c r="AB865" s="185"/>
      <c r="AC865" s="185"/>
    </row>
    <row r="866" spans="1:29" ht="15.75" customHeight="1">
      <c r="A866" s="185"/>
      <c r="B866" s="189"/>
      <c r="C866" s="189"/>
      <c r="D866" s="189"/>
      <c r="E866" s="189"/>
      <c r="F866" s="189"/>
      <c r="G866" s="189"/>
      <c r="H866" s="189"/>
      <c r="I866" s="5"/>
      <c r="J866" s="6"/>
      <c r="K866" s="5"/>
      <c r="L866" s="189"/>
      <c r="M866" s="189"/>
      <c r="N866" s="189"/>
      <c r="O866" s="190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  <c r="AA866" s="185"/>
      <c r="AB866" s="185"/>
      <c r="AC866" s="185"/>
    </row>
    <row r="867" spans="1:29" ht="15.75" customHeight="1">
      <c r="A867" s="185"/>
      <c r="B867" s="189"/>
      <c r="C867" s="189"/>
      <c r="D867" s="189"/>
      <c r="E867" s="189"/>
      <c r="F867" s="189"/>
      <c r="G867" s="189"/>
      <c r="H867" s="189"/>
      <c r="I867" s="5"/>
      <c r="J867" s="6"/>
      <c r="K867" s="5"/>
      <c r="L867" s="189"/>
      <c r="M867" s="189"/>
      <c r="N867" s="189"/>
      <c r="O867" s="190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  <c r="AA867" s="185"/>
      <c r="AB867" s="185"/>
      <c r="AC867" s="185"/>
    </row>
    <row r="868" spans="1:29" ht="15.75" customHeight="1">
      <c r="A868" s="185"/>
      <c r="B868" s="189"/>
      <c r="C868" s="189"/>
      <c r="D868" s="189"/>
      <c r="E868" s="189"/>
      <c r="F868" s="189"/>
      <c r="G868" s="189"/>
      <c r="H868" s="189"/>
      <c r="I868" s="5"/>
      <c r="J868" s="6"/>
      <c r="K868" s="5"/>
      <c r="L868" s="189"/>
      <c r="M868" s="189"/>
      <c r="N868" s="189"/>
      <c r="O868" s="190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  <c r="AA868" s="185"/>
      <c r="AB868" s="185"/>
      <c r="AC868" s="185"/>
    </row>
    <row r="869" spans="1:29" ht="15.75" customHeight="1">
      <c r="A869" s="185"/>
      <c r="B869" s="189"/>
      <c r="C869" s="189"/>
      <c r="D869" s="189"/>
      <c r="E869" s="189"/>
      <c r="F869" s="189"/>
      <c r="G869" s="189"/>
      <c r="H869" s="189"/>
      <c r="I869" s="5"/>
      <c r="J869" s="6"/>
      <c r="K869" s="5"/>
      <c r="L869" s="189"/>
      <c r="M869" s="189"/>
      <c r="N869" s="189"/>
      <c r="O869" s="190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  <c r="AA869" s="185"/>
      <c r="AB869" s="185"/>
      <c r="AC869" s="185"/>
    </row>
    <row r="870" spans="1:29" ht="15.75" customHeight="1">
      <c r="A870" s="185"/>
      <c r="B870" s="189"/>
      <c r="C870" s="189"/>
      <c r="D870" s="189"/>
      <c r="E870" s="189"/>
      <c r="F870" s="189"/>
      <c r="G870" s="189"/>
      <c r="H870" s="189"/>
      <c r="I870" s="5"/>
      <c r="J870" s="6"/>
      <c r="K870" s="5"/>
      <c r="L870" s="189"/>
      <c r="M870" s="189"/>
      <c r="N870" s="189"/>
      <c r="O870" s="190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  <c r="AA870" s="185"/>
      <c r="AB870" s="185"/>
      <c r="AC870" s="185"/>
    </row>
    <row r="871" spans="1:29" ht="15.75" customHeight="1">
      <c r="A871" s="185"/>
      <c r="B871" s="189"/>
      <c r="C871" s="189"/>
      <c r="D871" s="189"/>
      <c r="E871" s="189"/>
      <c r="F871" s="189"/>
      <c r="G871" s="189"/>
      <c r="H871" s="189"/>
      <c r="I871" s="5"/>
      <c r="J871" s="6"/>
      <c r="K871" s="5"/>
      <c r="L871" s="189"/>
      <c r="M871" s="189"/>
      <c r="N871" s="189"/>
      <c r="O871" s="190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  <c r="AA871" s="185"/>
      <c r="AB871" s="185"/>
      <c r="AC871" s="185"/>
    </row>
    <row r="872" spans="1:29" ht="15.75" customHeight="1">
      <c r="A872" s="185"/>
      <c r="B872" s="189"/>
      <c r="C872" s="189"/>
      <c r="D872" s="189"/>
      <c r="E872" s="189"/>
      <c r="F872" s="189"/>
      <c r="G872" s="189"/>
      <c r="H872" s="189"/>
      <c r="I872" s="5"/>
      <c r="J872" s="6"/>
      <c r="K872" s="5"/>
      <c r="L872" s="189"/>
      <c r="M872" s="189"/>
      <c r="N872" s="189"/>
      <c r="O872" s="190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  <c r="AA872" s="185"/>
      <c r="AB872" s="185"/>
      <c r="AC872" s="185"/>
    </row>
    <row r="873" spans="1:29" ht="15.75" customHeight="1">
      <c r="A873" s="185"/>
      <c r="B873" s="189"/>
      <c r="C873" s="189"/>
      <c r="D873" s="189"/>
      <c r="E873" s="189"/>
      <c r="F873" s="189"/>
      <c r="G873" s="189"/>
      <c r="H873" s="189"/>
      <c r="I873" s="5"/>
      <c r="J873" s="6"/>
      <c r="K873" s="5"/>
      <c r="L873" s="189"/>
      <c r="M873" s="189"/>
      <c r="N873" s="189"/>
      <c r="O873" s="190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  <c r="AA873" s="185"/>
      <c r="AB873" s="185"/>
      <c r="AC873" s="185"/>
    </row>
    <row r="874" spans="1:29" ht="15.75" customHeight="1">
      <c r="A874" s="185"/>
      <c r="B874" s="189"/>
      <c r="C874" s="189"/>
      <c r="D874" s="189"/>
      <c r="E874" s="189"/>
      <c r="F874" s="189"/>
      <c r="G874" s="189"/>
      <c r="H874" s="189"/>
      <c r="I874" s="5"/>
      <c r="J874" s="6"/>
      <c r="K874" s="5"/>
      <c r="L874" s="189"/>
      <c r="M874" s="189"/>
      <c r="N874" s="189"/>
      <c r="O874" s="190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  <c r="AA874" s="185"/>
      <c r="AB874" s="185"/>
      <c r="AC874" s="185"/>
    </row>
    <row r="875" spans="1:29" ht="15.75" customHeight="1">
      <c r="A875" s="185"/>
      <c r="B875" s="189"/>
      <c r="C875" s="189"/>
      <c r="D875" s="189"/>
      <c r="E875" s="189"/>
      <c r="F875" s="189"/>
      <c r="G875" s="189"/>
      <c r="H875" s="189"/>
      <c r="I875" s="5"/>
      <c r="J875" s="6"/>
      <c r="K875" s="5"/>
      <c r="L875" s="189"/>
      <c r="M875" s="189"/>
      <c r="N875" s="189"/>
      <c r="O875" s="190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  <c r="AA875" s="185"/>
      <c r="AB875" s="185"/>
      <c r="AC875" s="185"/>
    </row>
    <row r="876" spans="1:29" ht="15.75" customHeight="1">
      <c r="A876" s="185"/>
      <c r="B876" s="189"/>
      <c r="C876" s="189"/>
      <c r="D876" s="189"/>
      <c r="E876" s="189"/>
      <c r="F876" s="189"/>
      <c r="G876" s="189"/>
      <c r="H876" s="189"/>
      <c r="I876" s="5"/>
      <c r="J876" s="6"/>
      <c r="K876" s="5"/>
      <c r="L876" s="189"/>
      <c r="M876" s="189"/>
      <c r="N876" s="189"/>
      <c r="O876" s="190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  <c r="AA876" s="185"/>
      <c r="AB876" s="185"/>
      <c r="AC876" s="185"/>
    </row>
    <row r="877" spans="1:29" ht="15.75" customHeight="1">
      <c r="A877" s="185"/>
      <c r="B877" s="189"/>
      <c r="C877" s="189"/>
      <c r="D877" s="189"/>
      <c r="E877" s="189"/>
      <c r="F877" s="189"/>
      <c r="G877" s="189"/>
      <c r="H877" s="189"/>
      <c r="I877" s="5"/>
      <c r="J877" s="6"/>
      <c r="K877" s="5"/>
      <c r="L877" s="189"/>
      <c r="M877" s="189"/>
      <c r="N877" s="189"/>
      <c r="O877" s="190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  <c r="AA877" s="185"/>
      <c r="AB877" s="185"/>
      <c r="AC877" s="185"/>
    </row>
    <row r="878" spans="1:29" ht="15.75" customHeight="1">
      <c r="A878" s="185"/>
      <c r="B878" s="189"/>
      <c r="C878" s="189"/>
      <c r="D878" s="189"/>
      <c r="E878" s="189"/>
      <c r="F878" s="189"/>
      <c r="G878" s="189"/>
      <c r="H878" s="189"/>
      <c r="I878" s="5"/>
      <c r="J878" s="6"/>
      <c r="K878" s="5"/>
      <c r="L878" s="189"/>
      <c r="M878" s="189"/>
      <c r="N878" s="189"/>
      <c r="O878" s="190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  <c r="AA878" s="185"/>
      <c r="AB878" s="185"/>
      <c r="AC878" s="185"/>
    </row>
    <row r="879" spans="1:29" ht="15.75" customHeight="1">
      <c r="A879" s="185"/>
      <c r="B879" s="189"/>
      <c r="C879" s="189"/>
      <c r="D879" s="189"/>
      <c r="E879" s="189"/>
      <c r="F879" s="189"/>
      <c r="G879" s="189"/>
      <c r="H879" s="189"/>
      <c r="I879" s="5"/>
      <c r="J879" s="6"/>
      <c r="K879" s="5"/>
      <c r="L879" s="189"/>
      <c r="M879" s="189"/>
      <c r="N879" s="189"/>
      <c r="O879" s="190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  <c r="AA879" s="185"/>
      <c r="AB879" s="185"/>
      <c r="AC879" s="185"/>
    </row>
    <row r="880" spans="1:29" ht="15.75" customHeight="1">
      <c r="A880" s="185"/>
      <c r="B880" s="189"/>
      <c r="C880" s="189"/>
      <c r="D880" s="189"/>
      <c r="E880" s="189"/>
      <c r="F880" s="189"/>
      <c r="G880" s="189"/>
      <c r="H880" s="189"/>
      <c r="I880" s="5"/>
      <c r="J880" s="6"/>
      <c r="K880" s="5"/>
      <c r="L880" s="189"/>
      <c r="M880" s="189"/>
      <c r="N880" s="189"/>
      <c r="O880" s="190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  <c r="AA880" s="185"/>
      <c r="AB880" s="185"/>
      <c r="AC880" s="185"/>
    </row>
    <row r="881" spans="1:29" ht="15.75" customHeight="1">
      <c r="A881" s="185"/>
      <c r="B881" s="189"/>
      <c r="C881" s="189"/>
      <c r="D881" s="189"/>
      <c r="E881" s="189"/>
      <c r="F881" s="189"/>
      <c r="G881" s="189"/>
      <c r="H881" s="189"/>
      <c r="I881" s="5"/>
      <c r="J881" s="6"/>
      <c r="K881" s="5"/>
      <c r="L881" s="189"/>
      <c r="M881" s="189"/>
      <c r="N881" s="189"/>
      <c r="O881" s="190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  <c r="AA881" s="185"/>
      <c r="AB881" s="185"/>
      <c r="AC881" s="185"/>
    </row>
    <row r="882" spans="1:29" ht="15.75" customHeight="1">
      <c r="A882" s="185"/>
      <c r="B882" s="189"/>
      <c r="C882" s="189"/>
      <c r="D882" s="189"/>
      <c r="E882" s="189"/>
      <c r="F882" s="189"/>
      <c r="G882" s="189"/>
      <c r="H882" s="189"/>
      <c r="I882" s="5"/>
      <c r="J882" s="6"/>
      <c r="K882" s="5"/>
      <c r="L882" s="189"/>
      <c r="M882" s="189"/>
      <c r="N882" s="189"/>
      <c r="O882" s="190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  <c r="AA882" s="185"/>
      <c r="AB882" s="185"/>
      <c r="AC882" s="185"/>
    </row>
    <row r="883" spans="1:29" ht="15.75" customHeight="1">
      <c r="A883" s="185"/>
      <c r="B883" s="189"/>
      <c r="C883" s="189"/>
      <c r="D883" s="189"/>
      <c r="E883" s="189"/>
      <c r="F883" s="189"/>
      <c r="G883" s="189"/>
      <c r="H883" s="189"/>
      <c r="I883" s="5"/>
      <c r="J883" s="6"/>
      <c r="K883" s="5"/>
      <c r="L883" s="189"/>
      <c r="M883" s="189"/>
      <c r="N883" s="189"/>
      <c r="O883" s="190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  <c r="AA883" s="185"/>
      <c r="AB883" s="185"/>
      <c r="AC883" s="185"/>
    </row>
    <row r="884" spans="1:29" ht="15.75" customHeight="1">
      <c r="A884" s="185"/>
      <c r="B884" s="189"/>
      <c r="C884" s="189"/>
      <c r="D884" s="189"/>
      <c r="E884" s="189"/>
      <c r="F884" s="189"/>
      <c r="G884" s="189"/>
      <c r="H884" s="189"/>
      <c r="I884" s="5"/>
      <c r="J884" s="6"/>
      <c r="K884" s="5"/>
      <c r="L884" s="189"/>
      <c r="M884" s="189"/>
      <c r="N884" s="189"/>
      <c r="O884" s="190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  <c r="AA884" s="185"/>
      <c r="AB884" s="185"/>
      <c r="AC884" s="185"/>
    </row>
    <row r="885" spans="1:29" ht="15.75" customHeight="1">
      <c r="A885" s="185"/>
      <c r="B885" s="189"/>
      <c r="C885" s="189"/>
      <c r="D885" s="189"/>
      <c r="E885" s="189"/>
      <c r="F885" s="189"/>
      <c r="G885" s="189"/>
      <c r="H885" s="189"/>
      <c r="I885" s="5"/>
      <c r="J885" s="6"/>
      <c r="K885" s="5"/>
      <c r="L885" s="189"/>
      <c r="M885" s="189"/>
      <c r="N885" s="189"/>
      <c r="O885" s="190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  <c r="AA885" s="185"/>
      <c r="AB885" s="185"/>
      <c r="AC885" s="185"/>
    </row>
    <row r="886" spans="1:29" ht="15.75" customHeight="1">
      <c r="A886" s="185"/>
      <c r="B886" s="189"/>
      <c r="C886" s="189"/>
      <c r="D886" s="189"/>
      <c r="E886" s="189"/>
      <c r="F886" s="189"/>
      <c r="G886" s="189"/>
      <c r="H886" s="189"/>
      <c r="I886" s="5"/>
      <c r="J886" s="6"/>
      <c r="K886" s="5"/>
      <c r="L886" s="189"/>
      <c r="M886" s="189"/>
      <c r="N886" s="189"/>
      <c r="O886" s="190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  <c r="AA886" s="185"/>
      <c r="AB886" s="185"/>
      <c r="AC886" s="185"/>
    </row>
    <row r="887" spans="1:29" ht="15.75" customHeight="1">
      <c r="A887" s="185"/>
      <c r="B887" s="189"/>
      <c r="C887" s="189"/>
      <c r="D887" s="189"/>
      <c r="E887" s="189"/>
      <c r="F887" s="189"/>
      <c r="G887" s="189"/>
      <c r="H887" s="189"/>
      <c r="I887" s="5"/>
      <c r="J887" s="6"/>
      <c r="K887" s="5"/>
      <c r="L887" s="189"/>
      <c r="M887" s="189"/>
      <c r="N887" s="189"/>
      <c r="O887" s="190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  <c r="AA887" s="185"/>
      <c r="AB887" s="185"/>
      <c r="AC887" s="185"/>
    </row>
    <row r="888" spans="1:29" ht="15.75" customHeight="1">
      <c r="A888" s="185"/>
      <c r="B888" s="189"/>
      <c r="C888" s="189"/>
      <c r="D888" s="189"/>
      <c r="E888" s="189"/>
      <c r="F888" s="189"/>
      <c r="G888" s="189"/>
      <c r="H888" s="189"/>
      <c r="I888" s="5"/>
      <c r="J888" s="6"/>
      <c r="K888" s="5"/>
      <c r="L888" s="189"/>
      <c r="M888" s="189"/>
      <c r="N888" s="189"/>
      <c r="O888" s="190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  <c r="AA888" s="185"/>
      <c r="AB888" s="185"/>
      <c r="AC888" s="185"/>
    </row>
    <row r="889" spans="1:29" ht="15.75" customHeight="1">
      <c r="A889" s="185"/>
      <c r="B889" s="189"/>
      <c r="C889" s="189"/>
      <c r="D889" s="189"/>
      <c r="E889" s="189"/>
      <c r="F889" s="189"/>
      <c r="G889" s="189"/>
      <c r="H889" s="189"/>
      <c r="I889" s="5"/>
      <c r="J889" s="6"/>
      <c r="K889" s="188"/>
      <c r="L889" s="189"/>
      <c r="M889" s="189"/>
      <c r="N889" s="189"/>
      <c r="O889" s="190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  <c r="AA889" s="185"/>
      <c r="AB889" s="185"/>
      <c r="AC889" s="185"/>
    </row>
    <row r="890" spans="1:29" ht="15.75" customHeight="1">
      <c r="A890" s="185"/>
      <c r="B890" s="189"/>
      <c r="C890" s="189"/>
      <c r="D890" s="189"/>
      <c r="E890" s="189"/>
      <c r="F890" s="189"/>
      <c r="G890" s="189"/>
      <c r="H890" s="189"/>
      <c r="I890" s="5"/>
      <c r="J890" s="6"/>
      <c r="K890" s="188"/>
      <c r="L890" s="189"/>
      <c r="M890" s="189"/>
      <c r="N890" s="189"/>
      <c r="O890" s="190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  <c r="AA890" s="185"/>
      <c r="AB890" s="185"/>
      <c r="AC890" s="185"/>
    </row>
    <row r="891" spans="1:29" ht="15.75" customHeight="1">
      <c r="A891" s="185"/>
      <c r="B891" s="189"/>
      <c r="C891" s="189"/>
      <c r="D891" s="189"/>
      <c r="E891" s="189"/>
      <c r="F891" s="189"/>
      <c r="G891" s="189"/>
      <c r="H891" s="189"/>
      <c r="I891" s="5"/>
      <c r="J891" s="6"/>
      <c r="K891" s="188"/>
      <c r="L891" s="189"/>
      <c r="M891" s="189"/>
      <c r="N891" s="189"/>
      <c r="O891" s="190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  <c r="AA891" s="185"/>
      <c r="AB891" s="185"/>
      <c r="AC891" s="185"/>
    </row>
    <row r="892" spans="1:29" ht="15.75" customHeight="1">
      <c r="A892" s="185"/>
      <c r="B892" s="189"/>
      <c r="C892" s="189"/>
      <c r="D892" s="189"/>
      <c r="E892" s="189"/>
      <c r="F892" s="189"/>
      <c r="G892" s="189"/>
      <c r="H892" s="189"/>
      <c r="I892" s="5"/>
      <c r="J892" s="6"/>
      <c r="K892" s="188"/>
      <c r="L892" s="189"/>
      <c r="M892" s="189"/>
      <c r="N892" s="189"/>
      <c r="O892" s="190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  <c r="AA892" s="185"/>
      <c r="AB892" s="185"/>
      <c r="AC892" s="185"/>
    </row>
    <row r="893" spans="1:29" ht="15.75" customHeight="1">
      <c r="A893" s="185"/>
      <c r="B893" s="189"/>
      <c r="C893" s="189"/>
      <c r="D893" s="189"/>
      <c r="E893" s="189"/>
      <c r="F893" s="189"/>
      <c r="G893" s="189"/>
      <c r="H893" s="189"/>
      <c r="I893" s="5"/>
      <c r="J893" s="6"/>
      <c r="K893" s="188"/>
      <c r="L893" s="189"/>
      <c r="M893" s="189"/>
      <c r="N893" s="189"/>
      <c r="O893" s="190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  <c r="AA893" s="185"/>
      <c r="AB893" s="185"/>
      <c r="AC893" s="185"/>
    </row>
    <row r="894" spans="1:29" ht="15.75" customHeight="1">
      <c r="A894" s="185"/>
      <c r="B894" s="189"/>
      <c r="C894" s="189"/>
      <c r="D894" s="189"/>
      <c r="E894" s="189"/>
      <c r="F894" s="189"/>
      <c r="G894" s="189"/>
      <c r="H894" s="189"/>
      <c r="I894" s="5"/>
      <c r="J894" s="6"/>
      <c r="K894" s="188"/>
      <c r="L894" s="189"/>
      <c r="M894" s="189"/>
      <c r="N894" s="189"/>
      <c r="O894" s="190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  <c r="AA894" s="185"/>
      <c r="AB894" s="185"/>
      <c r="AC894" s="185"/>
    </row>
    <row r="895" spans="1:29" ht="15.75" customHeight="1">
      <c r="A895" s="185"/>
      <c r="B895" s="189"/>
      <c r="C895" s="189"/>
      <c r="D895" s="189"/>
      <c r="E895" s="189"/>
      <c r="F895" s="189"/>
      <c r="G895" s="189"/>
      <c r="H895" s="189"/>
      <c r="I895" s="5"/>
      <c r="J895" s="6"/>
      <c r="K895" s="188"/>
      <c r="L895" s="189"/>
      <c r="M895" s="189"/>
      <c r="N895" s="189"/>
      <c r="O895" s="190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  <c r="AA895" s="185"/>
      <c r="AB895" s="185"/>
      <c r="AC895" s="185"/>
    </row>
    <row r="896" spans="1:29" ht="15.75" customHeight="1">
      <c r="A896" s="185"/>
      <c r="B896" s="189"/>
      <c r="C896" s="189"/>
      <c r="D896" s="189"/>
      <c r="E896" s="189"/>
      <c r="F896" s="189"/>
      <c r="G896" s="189"/>
      <c r="H896" s="189"/>
      <c r="I896" s="5"/>
      <c r="J896" s="6"/>
      <c r="K896" s="188"/>
      <c r="L896" s="189"/>
      <c r="M896" s="189"/>
      <c r="N896" s="189"/>
      <c r="O896" s="190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  <c r="AA896" s="185"/>
      <c r="AB896" s="185"/>
      <c r="AC896" s="185"/>
    </row>
    <row r="897" spans="1:29" ht="15.75" customHeight="1">
      <c r="A897" s="185"/>
      <c r="B897" s="189"/>
      <c r="C897" s="189"/>
      <c r="D897" s="189"/>
      <c r="E897" s="189"/>
      <c r="F897" s="189"/>
      <c r="G897" s="189"/>
      <c r="H897" s="189"/>
      <c r="I897" s="5"/>
      <c r="J897" s="6"/>
      <c r="K897" s="188"/>
      <c r="L897" s="189"/>
      <c r="M897" s="189"/>
      <c r="N897" s="189"/>
      <c r="O897" s="190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  <c r="AA897" s="185"/>
      <c r="AB897" s="185"/>
      <c r="AC897" s="185"/>
    </row>
    <row r="898" spans="1:29" ht="15.75" customHeight="1">
      <c r="A898" s="185"/>
      <c r="B898" s="189"/>
      <c r="C898" s="189"/>
      <c r="D898" s="189"/>
      <c r="E898" s="189"/>
      <c r="F898" s="189"/>
      <c r="G898" s="189"/>
      <c r="H898" s="189"/>
      <c r="I898" s="5"/>
      <c r="J898" s="6"/>
      <c r="K898" s="188"/>
      <c r="L898" s="189"/>
      <c r="M898" s="189"/>
      <c r="N898" s="189"/>
      <c r="O898" s="190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  <c r="AA898" s="185"/>
      <c r="AB898" s="185"/>
      <c r="AC898" s="185"/>
    </row>
    <row r="899" spans="1:29" ht="15.75" customHeight="1">
      <c r="A899" s="185"/>
      <c r="B899" s="189"/>
      <c r="C899" s="189"/>
      <c r="D899" s="189"/>
      <c r="E899" s="189"/>
      <c r="F899" s="189"/>
      <c r="G899" s="189"/>
      <c r="H899" s="189"/>
      <c r="I899" s="5"/>
      <c r="J899" s="6"/>
      <c r="K899" s="188"/>
      <c r="L899" s="189"/>
      <c r="M899" s="189"/>
      <c r="N899" s="189"/>
      <c r="O899" s="190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  <c r="AA899" s="185"/>
      <c r="AB899" s="185"/>
      <c r="AC899" s="185"/>
    </row>
    <row r="900" spans="1:29" ht="15.75" customHeight="1">
      <c r="A900" s="185"/>
      <c r="B900" s="189"/>
      <c r="C900" s="189"/>
      <c r="D900" s="189"/>
      <c r="E900" s="189"/>
      <c r="F900" s="189"/>
      <c r="G900" s="189"/>
      <c r="H900" s="189"/>
      <c r="I900" s="5"/>
      <c r="J900" s="6"/>
      <c r="K900" s="188"/>
      <c r="L900" s="189"/>
      <c r="M900" s="189"/>
      <c r="N900" s="189"/>
      <c r="O900" s="190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  <c r="AA900" s="185"/>
      <c r="AB900" s="185"/>
      <c r="AC900" s="185"/>
    </row>
    <row r="901" spans="1:29" ht="15.75" customHeight="1">
      <c r="A901" s="185"/>
      <c r="B901" s="189"/>
      <c r="C901" s="189"/>
      <c r="D901" s="189"/>
      <c r="E901" s="189"/>
      <c r="F901" s="189"/>
      <c r="G901" s="189"/>
      <c r="H901" s="189"/>
      <c r="I901" s="5"/>
      <c r="J901" s="6"/>
      <c r="K901" s="188"/>
      <c r="L901" s="189"/>
      <c r="M901" s="189"/>
      <c r="N901" s="189"/>
      <c r="O901" s="190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  <c r="AA901" s="185"/>
      <c r="AB901" s="185"/>
      <c r="AC901" s="185"/>
    </row>
    <row r="902" spans="1:29" ht="15.75" customHeight="1">
      <c r="A902" s="185"/>
      <c r="B902" s="189"/>
      <c r="C902" s="189"/>
      <c r="D902" s="189"/>
      <c r="E902" s="189"/>
      <c r="F902" s="189"/>
      <c r="G902" s="189"/>
      <c r="H902" s="189"/>
      <c r="I902" s="5"/>
      <c r="J902" s="6"/>
      <c r="K902" s="188"/>
      <c r="L902" s="189"/>
      <c r="M902" s="189"/>
      <c r="N902" s="189"/>
      <c r="O902" s="190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  <c r="AA902" s="185"/>
      <c r="AB902" s="185"/>
      <c r="AC902" s="185"/>
    </row>
    <row r="903" spans="1:29" ht="15.75" customHeight="1">
      <c r="A903" s="185"/>
      <c r="B903" s="189"/>
      <c r="C903" s="189"/>
      <c r="D903" s="189"/>
      <c r="E903" s="189"/>
      <c r="F903" s="189"/>
      <c r="G903" s="189"/>
      <c r="H903" s="189"/>
      <c r="I903" s="5"/>
      <c r="J903" s="6"/>
      <c r="K903" s="188"/>
      <c r="L903" s="189"/>
      <c r="M903" s="189"/>
      <c r="N903" s="189"/>
      <c r="O903" s="190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  <c r="AA903" s="185"/>
      <c r="AB903" s="185"/>
      <c r="AC903" s="185"/>
    </row>
    <row r="904" spans="1:29" ht="15.75" customHeight="1">
      <c r="A904" s="185"/>
      <c r="B904" s="189"/>
      <c r="C904" s="189"/>
      <c r="D904" s="189"/>
      <c r="E904" s="189"/>
      <c r="F904" s="189"/>
      <c r="G904" s="189"/>
      <c r="H904" s="189"/>
      <c r="I904" s="5"/>
      <c r="J904" s="6"/>
      <c r="K904" s="188"/>
      <c r="L904" s="189"/>
      <c r="M904" s="189"/>
      <c r="N904" s="189"/>
      <c r="O904" s="190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  <c r="AA904" s="185"/>
      <c r="AB904" s="185"/>
      <c r="AC904" s="185"/>
    </row>
    <row r="905" spans="1:29" ht="15.75" customHeight="1">
      <c r="A905" s="185"/>
      <c r="B905" s="189"/>
      <c r="C905" s="189"/>
      <c r="D905" s="189"/>
      <c r="E905" s="189"/>
      <c r="F905" s="189"/>
      <c r="G905" s="189"/>
      <c r="H905" s="189"/>
      <c r="I905" s="5"/>
      <c r="J905" s="6"/>
      <c r="K905" s="188"/>
      <c r="L905" s="189"/>
      <c r="M905" s="189"/>
      <c r="N905" s="189"/>
      <c r="O905" s="190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  <c r="AA905" s="185"/>
      <c r="AB905" s="185"/>
      <c r="AC905" s="185"/>
    </row>
    <row r="906" spans="1:29" ht="15.75" customHeight="1">
      <c r="A906" s="185"/>
      <c r="B906" s="189"/>
      <c r="C906" s="189"/>
      <c r="D906" s="189"/>
      <c r="E906" s="189"/>
      <c r="F906" s="189"/>
      <c r="G906" s="189"/>
      <c r="H906" s="189"/>
      <c r="I906" s="5"/>
      <c r="J906" s="6"/>
      <c r="K906" s="188"/>
      <c r="L906" s="189"/>
      <c r="M906" s="189"/>
      <c r="N906" s="189"/>
      <c r="O906" s="190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  <c r="AA906" s="185"/>
      <c r="AB906" s="185"/>
      <c r="AC906" s="185"/>
    </row>
    <row r="907" spans="1:29" ht="15.75" customHeight="1">
      <c r="A907" s="185"/>
      <c r="B907" s="189"/>
      <c r="C907" s="189"/>
      <c r="D907" s="189"/>
      <c r="E907" s="189"/>
      <c r="F907" s="189"/>
      <c r="G907" s="189"/>
      <c r="H907" s="189"/>
      <c r="I907" s="5"/>
      <c r="J907" s="6"/>
      <c r="K907" s="188"/>
      <c r="L907" s="189"/>
      <c r="M907" s="189"/>
      <c r="N907" s="189"/>
      <c r="O907" s="190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  <c r="AA907" s="185"/>
      <c r="AB907" s="185"/>
      <c r="AC907" s="185"/>
    </row>
    <row r="908" spans="1:29" ht="15.75" customHeight="1">
      <c r="A908" s="185"/>
      <c r="B908" s="189"/>
      <c r="C908" s="189"/>
      <c r="D908" s="189"/>
      <c r="E908" s="189"/>
      <c r="F908" s="189"/>
      <c r="G908" s="189"/>
      <c r="H908" s="189"/>
      <c r="I908" s="5"/>
      <c r="J908" s="6"/>
      <c r="K908" s="188"/>
      <c r="L908" s="189"/>
      <c r="M908" s="189"/>
      <c r="N908" s="189"/>
      <c r="O908" s="190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  <c r="AA908" s="185"/>
      <c r="AB908" s="185"/>
      <c r="AC908" s="185"/>
    </row>
    <row r="909" spans="1:29" ht="15.75" customHeight="1">
      <c r="A909" s="185"/>
      <c r="B909" s="189"/>
      <c r="C909" s="189"/>
      <c r="D909" s="189"/>
      <c r="E909" s="189"/>
      <c r="F909" s="189"/>
      <c r="G909" s="189"/>
      <c r="H909" s="189"/>
      <c r="I909" s="5"/>
      <c r="J909" s="6"/>
      <c r="K909" s="188"/>
      <c r="L909" s="189"/>
      <c r="M909" s="189"/>
      <c r="N909" s="189"/>
      <c r="O909" s="190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  <c r="AA909" s="185"/>
      <c r="AB909" s="185"/>
      <c r="AC909" s="185"/>
    </row>
    <row r="910" spans="1:29" ht="15.75" customHeight="1">
      <c r="A910" s="185"/>
      <c r="B910" s="189"/>
      <c r="C910" s="189"/>
      <c r="D910" s="189"/>
      <c r="E910" s="189"/>
      <c r="F910" s="189"/>
      <c r="G910" s="189"/>
      <c r="H910" s="189"/>
      <c r="I910" s="5"/>
      <c r="J910" s="6"/>
      <c r="K910" s="188"/>
      <c r="L910" s="189"/>
      <c r="M910" s="189"/>
      <c r="N910" s="189"/>
      <c r="O910" s="190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  <c r="AA910" s="185"/>
      <c r="AB910" s="185"/>
      <c r="AC910" s="185"/>
    </row>
    <row r="911" spans="1:29" ht="15.75" customHeight="1">
      <c r="A911" s="185"/>
      <c r="B911" s="189"/>
      <c r="C911" s="189"/>
      <c r="D911" s="189"/>
      <c r="E911" s="189"/>
      <c r="F911" s="189"/>
      <c r="G911" s="189"/>
      <c r="H911" s="189"/>
      <c r="I911" s="5"/>
      <c r="J911" s="6"/>
      <c r="K911" s="188"/>
      <c r="L911" s="189"/>
      <c r="M911" s="189"/>
      <c r="N911" s="189"/>
      <c r="O911" s="190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  <c r="AA911" s="185"/>
      <c r="AB911" s="185"/>
      <c r="AC911" s="185"/>
    </row>
    <row r="912" spans="1:29" ht="15.75" customHeight="1">
      <c r="A912" s="185"/>
      <c r="B912" s="189"/>
      <c r="C912" s="189"/>
      <c r="D912" s="189"/>
      <c r="E912" s="189"/>
      <c r="F912" s="189"/>
      <c r="G912" s="189"/>
      <c r="H912" s="189"/>
      <c r="I912" s="5"/>
      <c r="J912" s="6"/>
      <c r="K912" s="188"/>
      <c r="L912" s="189"/>
      <c r="M912" s="189"/>
      <c r="N912" s="189"/>
      <c r="O912" s="190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  <c r="AA912" s="185"/>
      <c r="AB912" s="185"/>
      <c r="AC912" s="185"/>
    </row>
    <row r="913" spans="1:29" ht="15.75" customHeight="1">
      <c r="A913" s="185"/>
      <c r="B913" s="189"/>
      <c r="C913" s="189"/>
      <c r="D913" s="189"/>
      <c r="E913" s="189"/>
      <c r="F913" s="189"/>
      <c r="G913" s="189"/>
      <c r="H913" s="189"/>
      <c r="I913" s="5"/>
      <c r="J913" s="6"/>
      <c r="K913" s="188"/>
      <c r="L913" s="189"/>
      <c r="M913" s="189"/>
      <c r="N913" s="189"/>
      <c r="O913" s="190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  <c r="AA913" s="185"/>
      <c r="AB913" s="185"/>
      <c r="AC913" s="185"/>
    </row>
    <row r="914" spans="1:29" ht="15.75" customHeight="1">
      <c r="A914" s="185"/>
      <c r="B914" s="189"/>
      <c r="C914" s="189"/>
      <c r="D914" s="189"/>
      <c r="E914" s="189"/>
      <c r="F914" s="189"/>
      <c r="G914" s="189"/>
      <c r="H914" s="189"/>
      <c r="I914" s="5"/>
      <c r="J914" s="6"/>
      <c r="K914" s="188"/>
      <c r="L914" s="189"/>
      <c r="M914" s="189"/>
      <c r="N914" s="189"/>
      <c r="O914" s="190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  <c r="AA914" s="185"/>
      <c r="AB914" s="185"/>
      <c r="AC914" s="185"/>
    </row>
    <row r="915" spans="1:29" ht="15.75" customHeight="1">
      <c r="A915" s="185"/>
      <c r="B915" s="189"/>
      <c r="C915" s="189"/>
      <c r="D915" s="189"/>
      <c r="E915" s="189"/>
      <c r="F915" s="189"/>
      <c r="G915" s="189"/>
      <c r="H915" s="189"/>
      <c r="I915" s="5"/>
      <c r="J915" s="6"/>
      <c r="K915" s="188"/>
      <c r="L915" s="189"/>
      <c r="M915" s="189"/>
      <c r="N915" s="189"/>
      <c r="O915" s="190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  <c r="AA915" s="185"/>
      <c r="AB915" s="185"/>
      <c r="AC915" s="185"/>
    </row>
    <row r="916" spans="1:29" ht="15.75" customHeight="1">
      <c r="A916" s="185"/>
      <c r="B916" s="189"/>
      <c r="C916" s="189"/>
      <c r="D916" s="189"/>
      <c r="E916" s="189"/>
      <c r="F916" s="189"/>
      <c r="G916" s="189"/>
      <c r="H916" s="189"/>
      <c r="I916" s="5"/>
      <c r="J916" s="6"/>
      <c r="K916" s="188"/>
      <c r="L916" s="189"/>
      <c r="M916" s="189"/>
      <c r="N916" s="189"/>
      <c r="O916" s="190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  <c r="AA916" s="185"/>
      <c r="AB916" s="185"/>
      <c r="AC916" s="185"/>
    </row>
    <row r="917" spans="1:29" ht="15.75" customHeight="1">
      <c r="A917" s="185"/>
      <c r="B917" s="189"/>
      <c r="C917" s="189"/>
      <c r="D917" s="189"/>
      <c r="E917" s="189"/>
      <c r="F917" s="189"/>
      <c r="G917" s="189"/>
      <c r="H917" s="189"/>
      <c r="I917" s="5"/>
      <c r="J917" s="6"/>
      <c r="K917" s="188"/>
      <c r="L917" s="189"/>
      <c r="M917" s="189"/>
      <c r="N917" s="189"/>
      <c r="O917" s="190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  <c r="AA917" s="185"/>
      <c r="AB917" s="185"/>
      <c r="AC917" s="185"/>
    </row>
    <row r="918" spans="1:29" ht="15.75" customHeight="1">
      <c r="A918" s="185"/>
      <c r="B918" s="189"/>
      <c r="C918" s="189"/>
      <c r="D918" s="189"/>
      <c r="E918" s="189"/>
      <c r="F918" s="189"/>
      <c r="G918" s="189"/>
      <c r="H918" s="189"/>
      <c r="I918" s="5"/>
      <c r="J918" s="6"/>
      <c r="K918" s="188"/>
      <c r="L918" s="189"/>
      <c r="M918" s="189"/>
      <c r="N918" s="189"/>
      <c r="O918" s="190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  <c r="AA918" s="185"/>
      <c r="AB918" s="185"/>
      <c r="AC918" s="185"/>
    </row>
    <row r="919" spans="1:29" ht="15.75" customHeight="1">
      <c r="A919" s="185"/>
      <c r="B919" s="189"/>
      <c r="C919" s="189"/>
      <c r="D919" s="189"/>
      <c r="E919" s="189"/>
      <c r="F919" s="189"/>
      <c r="G919" s="189"/>
      <c r="H919" s="189"/>
      <c r="I919" s="5"/>
      <c r="J919" s="6"/>
      <c r="K919" s="188"/>
      <c r="L919" s="189"/>
      <c r="M919" s="189"/>
      <c r="N919" s="189"/>
      <c r="O919" s="190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  <c r="AA919" s="185"/>
      <c r="AB919" s="185"/>
      <c r="AC919" s="185"/>
    </row>
    <row r="920" spans="1:29" ht="15.75" customHeight="1">
      <c r="A920" s="185"/>
      <c r="B920" s="189"/>
      <c r="C920" s="189"/>
      <c r="D920" s="189"/>
      <c r="E920" s="189"/>
      <c r="F920" s="189"/>
      <c r="G920" s="189"/>
      <c r="H920" s="189"/>
      <c r="I920" s="5"/>
      <c r="J920" s="6"/>
      <c r="K920" s="188"/>
      <c r="L920" s="189"/>
      <c r="M920" s="189"/>
      <c r="N920" s="189"/>
      <c r="O920" s="190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  <c r="AA920" s="185"/>
      <c r="AB920" s="185"/>
      <c r="AC920" s="185"/>
    </row>
    <row r="921" spans="1:29" ht="15.75" customHeight="1">
      <c r="A921" s="185"/>
      <c r="B921" s="189"/>
      <c r="C921" s="189"/>
      <c r="D921" s="189"/>
      <c r="E921" s="189"/>
      <c r="F921" s="189"/>
      <c r="G921" s="189"/>
      <c r="H921" s="189"/>
      <c r="I921" s="5"/>
      <c r="J921" s="6"/>
      <c r="K921" s="188"/>
      <c r="L921" s="189"/>
      <c r="M921" s="189"/>
      <c r="N921" s="189"/>
      <c r="O921" s="190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  <c r="AA921" s="185"/>
      <c r="AB921" s="185"/>
      <c r="AC921" s="185"/>
    </row>
    <row r="922" spans="1:29" ht="15.75" customHeight="1">
      <c r="A922" s="185"/>
      <c r="B922" s="189"/>
      <c r="C922" s="189"/>
      <c r="D922" s="189"/>
      <c r="E922" s="189"/>
      <c r="F922" s="189"/>
      <c r="G922" s="189"/>
      <c r="H922" s="189"/>
      <c r="I922" s="5"/>
      <c r="J922" s="6"/>
      <c r="K922" s="188"/>
      <c r="L922" s="189"/>
      <c r="M922" s="189"/>
      <c r="N922" s="189"/>
      <c r="O922" s="190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  <c r="AA922" s="185"/>
      <c r="AB922" s="185"/>
      <c r="AC922" s="185"/>
    </row>
    <row r="923" spans="1:29" ht="15.75" customHeight="1">
      <c r="A923" s="185"/>
      <c r="B923" s="189"/>
      <c r="C923" s="189"/>
      <c r="D923" s="189"/>
      <c r="E923" s="189"/>
      <c r="F923" s="189"/>
      <c r="G923" s="189"/>
      <c r="H923" s="189"/>
      <c r="I923" s="5"/>
      <c r="J923" s="6"/>
      <c r="K923" s="188"/>
      <c r="L923" s="189"/>
      <c r="M923" s="189"/>
      <c r="N923" s="189"/>
      <c r="O923" s="190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  <c r="AA923" s="185"/>
      <c r="AB923" s="185"/>
      <c r="AC923" s="185"/>
    </row>
    <row r="924" spans="1:29" ht="15.75" customHeight="1">
      <c r="A924" s="185"/>
      <c r="B924" s="189"/>
      <c r="C924" s="189"/>
      <c r="D924" s="189"/>
      <c r="E924" s="189"/>
      <c r="F924" s="189"/>
      <c r="G924" s="189"/>
      <c r="H924" s="189"/>
      <c r="I924" s="5"/>
      <c r="J924" s="6"/>
      <c r="K924" s="188"/>
      <c r="L924" s="189"/>
      <c r="M924" s="189"/>
      <c r="N924" s="189"/>
      <c r="O924" s="190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  <c r="AA924" s="185"/>
      <c r="AB924" s="185"/>
      <c r="AC924" s="185"/>
    </row>
    <row r="925" spans="1:29" ht="15.75" customHeight="1">
      <c r="A925" s="185"/>
      <c r="B925" s="189"/>
      <c r="C925" s="189"/>
      <c r="D925" s="189"/>
      <c r="E925" s="189"/>
      <c r="F925" s="189"/>
      <c r="G925" s="189"/>
      <c r="H925" s="189"/>
      <c r="I925" s="5"/>
      <c r="J925" s="6"/>
      <c r="K925" s="188"/>
      <c r="L925" s="189"/>
      <c r="M925" s="189"/>
      <c r="N925" s="189"/>
      <c r="O925" s="190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  <c r="AA925" s="185"/>
      <c r="AB925" s="185"/>
      <c r="AC925" s="185"/>
    </row>
    <row r="926" spans="1:29" ht="15.75" customHeight="1">
      <c r="A926" s="185"/>
      <c r="B926" s="189"/>
      <c r="C926" s="189"/>
      <c r="D926" s="189"/>
      <c r="E926" s="189"/>
      <c r="F926" s="189"/>
      <c r="G926" s="189"/>
      <c r="H926" s="189"/>
      <c r="I926" s="5"/>
      <c r="J926" s="6"/>
      <c r="K926" s="188"/>
      <c r="L926" s="189"/>
      <c r="M926" s="189"/>
      <c r="N926" s="189"/>
      <c r="O926" s="190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  <c r="AA926" s="185"/>
      <c r="AB926" s="185"/>
      <c r="AC926" s="185"/>
    </row>
    <row r="927" spans="1:29" ht="15.75" customHeight="1">
      <c r="A927" s="185"/>
      <c r="B927" s="189"/>
      <c r="C927" s="189"/>
      <c r="D927" s="189"/>
      <c r="E927" s="189"/>
      <c r="F927" s="189"/>
      <c r="G927" s="189"/>
      <c r="H927" s="189"/>
      <c r="I927" s="5"/>
      <c r="J927" s="6"/>
      <c r="K927" s="188"/>
      <c r="L927" s="189"/>
      <c r="M927" s="189"/>
      <c r="N927" s="189"/>
      <c r="O927" s="190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  <c r="AA927" s="185"/>
      <c r="AB927" s="185"/>
      <c r="AC927" s="185"/>
    </row>
    <row r="928" spans="1:29" ht="15.75" customHeight="1">
      <c r="A928" s="185"/>
      <c r="B928" s="189"/>
      <c r="C928" s="189"/>
      <c r="D928" s="189"/>
      <c r="E928" s="189"/>
      <c r="F928" s="189"/>
      <c r="G928" s="189"/>
      <c r="H928" s="189"/>
      <c r="I928" s="5"/>
      <c r="J928" s="6"/>
      <c r="K928" s="188"/>
      <c r="L928" s="189"/>
      <c r="M928" s="189"/>
      <c r="N928" s="189"/>
      <c r="O928" s="190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  <c r="AA928" s="185"/>
      <c r="AB928" s="185"/>
      <c r="AC928" s="185"/>
    </row>
    <row r="929" spans="1:29" ht="15.75" customHeight="1">
      <c r="A929" s="185"/>
      <c r="B929" s="189"/>
      <c r="C929" s="189"/>
      <c r="D929" s="189"/>
      <c r="E929" s="189"/>
      <c r="F929" s="189"/>
      <c r="G929" s="189"/>
      <c r="H929" s="189"/>
      <c r="I929" s="5"/>
      <c r="J929" s="6"/>
      <c r="K929" s="188"/>
      <c r="L929" s="189"/>
      <c r="M929" s="189"/>
      <c r="N929" s="189"/>
      <c r="O929" s="190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  <c r="AA929" s="185"/>
      <c r="AB929" s="185"/>
      <c r="AC929" s="185"/>
    </row>
    <row r="930" spans="1:29" ht="15.75" customHeight="1">
      <c r="A930" s="185"/>
      <c r="B930" s="189"/>
      <c r="C930" s="189"/>
      <c r="D930" s="189"/>
      <c r="E930" s="189"/>
      <c r="F930" s="189"/>
      <c r="G930" s="189"/>
      <c r="H930" s="189"/>
      <c r="I930" s="5"/>
      <c r="J930" s="6"/>
      <c r="K930" s="188"/>
      <c r="L930" s="189"/>
      <c r="M930" s="189"/>
      <c r="N930" s="189"/>
      <c r="O930" s="190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  <c r="AA930" s="185"/>
      <c r="AB930" s="185"/>
      <c r="AC930" s="185"/>
    </row>
    <row r="931" spans="1:29" ht="15.75" customHeight="1">
      <c r="A931" s="185"/>
      <c r="B931" s="189"/>
      <c r="C931" s="189"/>
      <c r="D931" s="189"/>
      <c r="E931" s="189"/>
      <c r="F931" s="189"/>
      <c r="G931" s="189"/>
      <c r="H931" s="189"/>
      <c r="I931" s="5"/>
      <c r="J931" s="6"/>
      <c r="K931" s="188"/>
      <c r="L931" s="189"/>
      <c r="M931" s="189"/>
      <c r="N931" s="189"/>
      <c r="O931" s="190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  <c r="AA931" s="185"/>
      <c r="AB931" s="185"/>
      <c r="AC931" s="185"/>
    </row>
    <row r="932" spans="1:29" ht="15.75" customHeight="1">
      <c r="A932" s="185"/>
      <c r="B932" s="189"/>
      <c r="C932" s="189"/>
      <c r="D932" s="189"/>
      <c r="E932" s="189"/>
      <c r="F932" s="189"/>
      <c r="G932" s="189"/>
      <c r="H932" s="189"/>
      <c r="I932" s="5"/>
      <c r="J932" s="6"/>
      <c r="K932" s="188"/>
      <c r="L932" s="189"/>
      <c r="M932" s="189"/>
      <c r="N932" s="189"/>
      <c r="O932" s="190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  <c r="AA932" s="185"/>
      <c r="AB932" s="185"/>
      <c r="AC932" s="185"/>
    </row>
    <row r="933" spans="1:29" ht="15.75" customHeight="1">
      <c r="A933" s="185"/>
      <c r="B933" s="189"/>
      <c r="C933" s="189"/>
      <c r="D933" s="189"/>
      <c r="E933" s="189"/>
      <c r="F933" s="189"/>
      <c r="G933" s="189"/>
      <c r="H933" s="189"/>
      <c r="I933" s="5"/>
      <c r="J933" s="6"/>
      <c r="K933" s="188"/>
      <c r="L933" s="189"/>
      <c r="M933" s="189"/>
      <c r="N933" s="189"/>
      <c r="O933" s="190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  <c r="AA933" s="185"/>
      <c r="AB933" s="185"/>
      <c r="AC933" s="185"/>
    </row>
    <row r="934" spans="1:29" ht="15.75" customHeight="1">
      <c r="A934" s="185"/>
      <c r="B934" s="189"/>
      <c r="C934" s="189"/>
      <c r="D934" s="189"/>
      <c r="E934" s="189"/>
      <c r="F934" s="189"/>
      <c r="G934" s="189"/>
      <c r="H934" s="189"/>
      <c r="I934" s="5"/>
      <c r="J934" s="6"/>
      <c r="K934" s="188"/>
      <c r="L934" s="189"/>
      <c r="M934" s="189"/>
      <c r="N934" s="189"/>
      <c r="O934" s="190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  <c r="AA934" s="185"/>
      <c r="AB934" s="185"/>
      <c r="AC934" s="185"/>
    </row>
    <row r="935" spans="1:29" ht="15.75" customHeight="1">
      <c r="A935" s="185"/>
      <c r="B935" s="189"/>
      <c r="C935" s="189"/>
      <c r="D935" s="189"/>
      <c r="E935" s="189"/>
      <c r="F935" s="189"/>
      <c r="G935" s="189"/>
      <c r="H935" s="189"/>
      <c r="I935" s="5"/>
      <c r="J935" s="6"/>
      <c r="K935" s="188"/>
      <c r="L935" s="189"/>
      <c r="M935" s="189"/>
      <c r="N935" s="189"/>
      <c r="O935" s="190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  <c r="AA935" s="185"/>
      <c r="AB935" s="185"/>
      <c r="AC935" s="185"/>
    </row>
    <row r="936" spans="1:29" ht="15.75" customHeight="1">
      <c r="A936" s="185"/>
      <c r="B936" s="189"/>
      <c r="C936" s="189"/>
      <c r="D936" s="189"/>
      <c r="E936" s="189"/>
      <c r="F936" s="189"/>
      <c r="G936" s="189"/>
      <c r="H936" s="189"/>
      <c r="I936" s="5"/>
      <c r="J936" s="6"/>
      <c r="K936" s="188"/>
      <c r="L936" s="189"/>
      <c r="M936" s="189"/>
      <c r="N936" s="189"/>
      <c r="O936" s="190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  <c r="AA936" s="185"/>
      <c r="AB936" s="185"/>
      <c r="AC936" s="185"/>
    </row>
    <row r="937" spans="1:29" ht="15.75" customHeight="1">
      <c r="A937" s="185"/>
      <c r="B937" s="189"/>
      <c r="C937" s="189"/>
      <c r="D937" s="189"/>
      <c r="E937" s="189"/>
      <c r="F937" s="189"/>
      <c r="G937" s="189"/>
      <c r="H937" s="189"/>
      <c r="I937" s="5"/>
      <c r="J937" s="6"/>
      <c r="K937" s="188"/>
      <c r="L937" s="189"/>
      <c r="M937" s="189"/>
      <c r="N937" s="189"/>
      <c r="O937" s="190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  <c r="AA937" s="185"/>
      <c r="AB937" s="185"/>
      <c r="AC937" s="185"/>
    </row>
    <row r="938" spans="1:29" ht="15.75" customHeight="1">
      <c r="A938" s="185"/>
      <c r="B938" s="189"/>
      <c r="C938" s="189"/>
      <c r="D938" s="189"/>
      <c r="E938" s="189"/>
      <c r="F938" s="189"/>
      <c r="G938" s="189"/>
      <c r="H938" s="189"/>
      <c r="I938" s="5"/>
      <c r="J938" s="6"/>
      <c r="K938" s="188"/>
      <c r="L938" s="189"/>
      <c r="M938" s="189"/>
      <c r="N938" s="189"/>
      <c r="O938" s="190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  <c r="AA938" s="185"/>
      <c r="AB938" s="185"/>
      <c r="AC938" s="185"/>
    </row>
    <row r="939" spans="1:29" ht="15.75" customHeight="1">
      <c r="A939" s="185"/>
      <c r="B939" s="189"/>
      <c r="C939" s="189"/>
      <c r="D939" s="189"/>
      <c r="E939" s="189"/>
      <c r="F939" s="189"/>
      <c r="G939" s="189"/>
      <c r="H939" s="189"/>
      <c r="I939" s="5"/>
      <c r="J939" s="6"/>
      <c r="K939" s="188"/>
      <c r="L939" s="189"/>
      <c r="M939" s="189"/>
      <c r="N939" s="189"/>
      <c r="O939" s="190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  <c r="AA939" s="185"/>
      <c r="AB939" s="185"/>
      <c r="AC939" s="185"/>
    </row>
    <row r="940" spans="1:29" ht="15.75" customHeight="1">
      <c r="A940" s="185"/>
      <c r="B940" s="189"/>
      <c r="C940" s="189"/>
      <c r="D940" s="189"/>
      <c r="E940" s="189"/>
      <c r="F940" s="189"/>
      <c r="G940" s="189"/>
      <c r="H940" s="189"/>
      <c r="I940" s="5"/>
      <c r="J940" s="6"/>
      <c r="K940" s="188"/>
      <c r="L940" s="189"/>
      <c r="M940" s="189"/>
      <c r="N940" s="189"/>
      <c r="O940" s="190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  <c r="AA940" s="185"/>
      <c r="AB940" s="185"/>
      <c r="AC940" s="185"/>
    </row>
  </sheetData>
  <autoFilter ref="A2:N233" xr:uid="{00000000-0009-0000-0000-000003000000}">
    <filterColumn colId="13">
      <filters>
        <filter val="Active"/>
        <filter val="Final visit"/>
      </filters>
    </filterColumn>
  </autoFilter>
  <mergeCells count="1">
    <mergeCell ref="B2:C2"/>
  </mergeCells>
  <dataValidations count="6">
    <dataValidation type="list" allowBlank="1" showErrorMessage="1" sqref="F3:H7 F10:H10 F12:H13 F15:H15 F17:H17 F77:H77 F101:H101 F120:H120 F136:H136 B3:B233 F181:H233" xr:uid="{00000000-0002-0000-0300-000002000000}">
      <formula1>"2020,2021,2022,2023,2024,2025,2026"</formula1>
    </dataValidation>
    <dataValidation type="list" allowBlank="1" showErrorMessage="1" sqref="I8:I9 I11 I14 I16 I18:I76 I78:I100 I102:I113" xr:uid="{00000000-0002-0000-0300-000003000000}">
      <formula1>"Villa,Commercial,Industrial,Chalet,Mosque,Renovation"</formula1>
    </dataValidation>
    <dataValidation type="list" allowBlank="1" showErrorMessage="1" sqref="M3:M233" xr:uid="{00000000-0002-0000-0300-000004000000}">
      <formula1>"Montly,Lumpsum,Visit basis"</formula1>
    </dataValidation>
    <dataValidation type="list" allowBlank="1" showErrorMessage="1" sqref="K153:K199" xr:uid="{00000000-0002-0000-0300-000005000000}">
      <formula1>"Mawelah South,Mawelah North,Al Khoudh,Sur Al Hadid,Mabelah South,Mabelah North,Seih Al Ahmer,Al Amrat,Al Hail South,Hail Al Awamier South,Al Fulej,Al Khoudh village,Halban,Barka,Healat Al Nasir,Wadi Al Lawami,Al Yousuf ,Falaj Al Sham,Al Shehekar,Qalaa,Khu"&amp;"rais Al Habus,bowsher,Azaiba,QURM,NAKHAL,abu nakheel,Al Rumais,Al shakakit,Al Haram,Al Manuma,Wadi mistal,Hay assim,quriat,Masirah,qantab,bid bid"</formula1>
    </dataValidation>
    <dataValidation type="list" allowBlank="1" showErrorMessage="1" sqref="L3:L233" xr:uid="{00000000-0002-0000-0300-000006000000}">
      <formula1>"Mawelah South,Mawelah North,Al Khoudh,Sur Al Hadid,Mabelah South,Mabelah North,Seih Al Ahmer,Al Amrat,Al Hail South,Hail Al Awamier South,Al Fulej,Al Khoudh village,Halban,Barka,Healat Al Nasir,Wadi Al Lawami,Al Yousuf ,Falaj Al Sham,Al Shehekar,Qalaa,Khu"&amp;"rais Al Habus,bowsher,Azaiba,QURM,NAKHAL,abu nakheel,Al Rumais,Al shakakit,Al Haram,Al Manuma,Wadi mistal,Hay assim,Solthan haitham,QURIYAT,MUDAIBY"</formula1>
    </dataValidation>
    <dataValidation type="list" allowBlank="1" showErrorMessage="1" sqref="N3:N233" xr:uid="{00000000-0002-0000-0300-000007000000}">
      <formula1>"Active,In-active,Completed,Stopped,Final visit,Not started,Take over,Cancelled"</formula1>
    </dataValidation>
  </dataValidations>
  <printOptions horizontalCentered="1"/>
  <pageMargins left="0.7" right="0.7" top="0.75" bottom="0.75" header="0" footer="0"/>
  <pageSetup paperSize="8" fitToWidth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outlinePr summaryBelow="0" summaryRight="0"/>
    <pageSetUpPr fitToPage="1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7.25" customWidth="1"/>
    <col min="2" max="2" width="20.25" customWidth="1"/>
    <col min="3" max="3" width="12.625" customWidth="1"/>
    <col min="4" max="4" width="11.625" customWidth="1"/>
    <col min="5" max="5" width="22.625" customWidth="1"/>
    <col min="6" max="6" width="15.125" customWidth="1"/>
    <col min="7" max="7" width="16.125" customWidth="1"/>
    <col min="8" max="8" width="19.375" customWidth="1"/>
    <col min="9" max="9" width="19" customWidth="1"/>
    <col min="10" max="10" width="20.5" customWidth="1"/>
    <col min="11" max="11" width="28.375" customWidth="1"/>
    <col min="12" max="17" width="9.75" customWidth="1"/>
  </cols>
  <sheetData>
    <row r="1" spans="1:26" ht="35.25" customHeight="1">
      <c r="A1" s="168" t="s">
        <v>18</v>
      </c>
      <c r="B1" s="168" t="s">
        <v>24</v>
      </c>
      <c r="C1" s="168" t="s">
        <v>1215</v>
      </c>
      <c r="D1" s="168" t="s">
        <v>1216</v>
      </c>
      <c r="E1" s="168" t="s">
        <v>43</v>
      </c>
      <c r="F1" s="168" t="s">
        <v>44</v>
      </c>
      <c r="G1" s="168" t="s">
        <v>45</v>
      </c>
      <c r="H1" s="169" t="s">
        <v>1217</v>
      </c>
      <c r="I1" s="169" t="s">
        <v>25</v>
      </c>
      <c r="J1" s="169" t="s">
        <v>1218</v>
      </c>
      <c r="K1" s="169" t="s">
        <v>43</v>
      </c>
      <c r="L1" s="170"/>
      <c r="M1" s="170"/>
      <c r="N1" s="170"/>
      <c r="O1" s="170"/>
      <c r="P1" s="170"/>
      <c r="Q1" s="171"/>
      <c r="R1" s="17"/>
      <c r="S1" s="17"/>
      <c r="T1" s="17"/>
      <c r="U1" s="17"/>
      <c r="V1" s="17"/>
      <c r="W1" s="17"/>
      <c r="X1" s="17"/>
      <c r="Y1" s="17"/>
      <c r="Z1" s="17"/>
    </row>
    <row r="2" spans="1:26" ht="23.25" customHeight="1">
      <c r="A2" s="81">
        <v>1</v>
      </c>
      <c r="B2" s="172" t="s">
        <v>111</v>
      </c>
      <c r="C2" s="81">
        <v>2020</v>
      </c>
      <c r="D2" s="173">
        <v>11</v>
      </c>
      <c r="E2" s="172" t="s">
        <v>116</v>
      </c>
      <c r="F2" s="172" t="s">
        <v>117</v>
      </c>
      <c r="G2" s="81" t="s">
        <v>118</v>
      </c>
      <c r="H2" s="47"/>
      <c r="I2" s="47"/>
      <c r="J2" s="47"/>
      <c r="K2" s="47"/>
      <c r="L2" s="47"/>
      <c r="M2" s="47"/>
      <c r="N2" s="47"/>
      <c r="O2" s="47"/>
      <c r="P2" s="47"/>
      <c r="Q2" s="47"/>
      <c r="R2" s="17"/>
      <c r="S2" s="17"/>
      <c r="T2" s="17"/>
      <c r="U2" s="17"/>
      <c r="V2" s="17"/>
      <c r="W2" s="17"/>
      <c r="X2" s="17"/>
      <c r="Y2" s="17"/>
      <c r="Z2" s="17"/>
    </row>
    <row r="3" spans="1:26" ht="23.25" customHeight="1">
      <c r="A3" s="81">
        <f t="shared" ref="A3:A158" si="0">A2+1</f>
        <v>2</v>
      </c>
      <c r="B3" s="172" t="s">
        <v>135</v>
      </c>
      <c r="C3" s="81">
        <v>2021</v>
      </c>
      <c r="D3" s="173">
        <v>43</v>
      </c>
      <c r="E3" s="172" t="s">
        <v>138</v>
      </c>
      <c r="F3" s="172" t="s">
        <v>117</v>
      </c>
      <c r="G3" s="81" t="s">
        <v>152</v>
      </c>
      <c r="H3" s="47"/>
      <c r="I3" s="47"/>
      <c r="J3" s="47"/>
      <c r="K3" s="47"/>
      <c r="L3" s="47"/>
      <c r="M3" s="47"/>
      <c r="N3" s="47"/>
      <c r="O3" s="47"/>
      <c r="P3" s="47"/>
      <c r="Q3" s="47"/>
      <c r="R3" s="17"/>
      <c r="S3" s="17"/>
      <c r="T3" s="17"/>
      <c r="U3" s="17"/>
      <c r="V3" s="17"/>
      <c r="W3" s="17"/>
      <c r="X3" s="17"/>
      <c r="Y3" s="17"/>
      <c r="Z3" s="17"/>
    </row>
    <row r="4" spans="1:26" ht="23.25" customHeight="1">
      <c r="A4" s="81">
        <f t="shared" si="0"/>
        <v>3</v>
      </c>
      <c r="B4" s="172" t="s">
        <v>1220</v>
      </c>
      <c r="C4" s="81">
        <v>2021</v>
      </c>
      <c r="D4" s="173">
        <v>68</v>
      </c>
      <c r="E4" s="172" t="s">
        <v>296</v>
      </c>
      <c r="F4" s="172" t="s">
        <v>150</v>
      </c>
      <c r="G4" s="81" t="s">
        <v>1221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17"/>
      <c r="S4" s="17"/>
      <c r="T4" s="17"/>
      <c r="U4" s="17"/>
      <c r="V4" s="17"/>
      <c r="W4" s="17"/>
      <c r="X4" s="17"/>
      <c r="Y4" s="17"/>
      <c r="Z4" s="17"/>
    </row>
    <row r="5" spans="1:26" ht="23.25" customHeight="1">
      <c r="A5" s="81">
        <f t="shared" si="0"/>
        <v>4</v>
      </c>
      <c r="B5" s="172" t="s">
        <v>149</v>
      </c>
      <c r="C5" s="81">
        <v>2021</v>
      </c>
      <c r="D5" s="173">
        <v>5</v>
      </c>
      <c r="E5" s="172" t="s">
        <v>116</v>
      </c>
      <c r="F5" s="172" t="s">
        <v>150</v>
      </c>
      <c r="G5" s="81" t="s">
        <v>118</v>
      </c>
      <c r="H5" s="47"/>
      <c r="I5" s="47"/>
      <c r="J5" s="47"/>
      <c r="K5" s="47"/>
      <c r="L5" s="47"/>
      <c r="M5" s="47"/>
      <c r="N5" s="47"/>
      <c r="O5" s="47"/>
      <c r="P5" s="47"/>
      <c r="Q5" s="47"/>
      <c r="R5" s="17"/>
      <c r="S5" s="17"/>
      <c r="T5" s="17"/>
      <c r="U5" s="17"/>
      <c r="V5" s="17"/>
      <c r="W5" s="17"/>
      <c r="X5" s="17"/>
      <c r="Y5" s="17"/>
      <c r="Z5" s="17"/>
    </row>
    <row r="6" spans="1:26" ht="23.25" customHeight="1">
      <c r="A6" s="81">
        <f t="shared" si="0"/>
        <v>5</v>
      </c>
      <c r="B6" s="172" t="s">
        <v>159</v>
      </c>
      <c r="C6" s="81">
        <v>2021</v>
      </c>
      <c r="D6" s="173">
        <v>6</v>
      </c>
      <c r="E6" s="172" t="s">
        <v>160</v>
      </c>
      <c r="F6" s="172" t="s">
        <v>117</v>
      </c>
      <c r="G6" s="81" t="s">
        <v>118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17"/>
      <c r="S6" s="17"/>
      <c r="T6" s="17"/>
      <c r="U6" s="17"/>
      <c r="V6" s="17"/>
      <c r="W6" s="17"/>
      <c r="X6" s="17"/>
      <c r="Y6" s="17"/>
      <c r="Z6" s="17"/>
    </row>
    <row r="7" spans="1:26" ht="23.25" customHeight="1">
      <c r="A7" s="81">
        <f t="shared" si="0"/>
        <v>6</v>
      </c>
      <c r="B7" s="172" t="s">
        <v>178</v>
      </c>
      <c r="C7" s="81">
        <v>2022</v>
      </c>
      <c r="D7" s="173">
        <v>6</v>
      </c>
      <c r="E7" s="172" t="s">
        <v>116</v>
      </c>
      <c r="F7" s="172" t="s">
        <v>182</v>
      </c>
      <c r="G7" s="81" t="s">
        <v>118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17"/>
      <c r="S7" s="17"/>
      <c r="T7" s="17"/>
      <c r="U7" s="17"/>
      <c r="V7" s="17"/>
      <c r="W7" s="17"/>
      <c r="X7" s="17"/>
      <c r="Y7" s="17"/>
      <c r="Z7" s="17"/>
    </row>
    <row r="8" spans="1:26" ht="23.25" customHeight="1">
      <c r="A8" s="81">
        <f t="shared" si="0"/>
        <v>7</v>
      </c>
      <c r="B8" s="172" t="s">
        <v>1222</v>
      </c>
      <c r="C8" s="81">
        <v>2022</v>
      </c>
      <c r="D8" s="173">
        <v>34</v>
      </c>
      <c r="E8" s="172" t="s">
        <v>404</v>
      </c>
      <c r="F8" s="172" t="s">
        <v>117</v>
      </c>
      <c r="G8" s="81" t="s">
        <v>227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17"/>
      <c r="S8" s="17"/>
      <c r="T8" s="17"/>
      <c r="U8" s="17"/>
      <c r="V8" s="17"/>
      <c r="W8" s="17"/>
      <c r="X8" s="17"/>
      <c r="Y8" s="17"/>
      <c r="Z8" s="17"/>
    </row>
    <row r="9" spans="1:26" ht="23.25" customHeight="1">
      <c r="A9" s="81">
        <f t="shared" si="0"/>
        <v>8</v>
      </c>
      <c r="B9" s="172" t="s">
        <v>1223</v>
      </c>
      <c r="C9" s="81">
        <v>2022</v>
      </c>
      <c r="D9" s="173">
        <v>57</v>
      </c>
      <c r="E9" s="172" t="s">
        <v>1224</v>
      </c>
      <c r="F9" s="172" t="s">
        <v>117</v>
      </c>
      <c r="G9" s="81" t="s">
        <v>202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17"/>
      <c r="S9" s="17"/>
      <c r="T9" s="17"/>
      <c r="U9" s="17"/>
      <c r="V9" s="17"/>
      <c r="W9" s="17"/>
      <c r="X9" s="17"/>
      <c r="Y9" s="17"/>
      <c r="Z9" s="17"/>
    </row>
    <row r="10" spans="1:26" ht="23.25" customHeight="1">
      <c r="A10" s="81">
        <f t="shared" si="0"/>
        <v>9</v>
      </c>
      <c r="B10" s="172" t="s">
        <v>1225</v>
      </c>
      <c r="C10" s="81">
        <v>2022</v>
      </c>
      <c r="D10" s="173">
        <v>76</v>
      </c>
      <c r="E10" s="172" t="s">
        <v>138</v>
      </c>
      <c r="F10" s="172" t="s">
        <v>117</v>
      </c>
      <c r="G10" s="81" t="s">
        <v>227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3.25" customHeight="1">
      <c r="A11" s="81">
        <f t="shared" si="0"/>
        <v>10</v>
      </c>
      <c r="B11" s="172" t="s">
        <v>1226</v>
      </c>
      <c r="C11" s="81">
        <v>2023</v>
      </c>
      <c r="D11" s="173">
        <v>3</v>
      </c>
      <c r="E11" s="172" t="s">
        <v>138</v>
      </c>
      <c r="F11" s="172" t="s">
        <v>117</v>
      </c>
      <c r="G11" s="81" t="s">
        <v>118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3.25" customHeight="1">
      <c r="A12" s="81">
        <f t="shared" si="0"/>
        <v>11</v>
      </c>
      <c r="B12" s="172" t="s">
        <v>1227</v>
      </c>
      <c r="C12" s="81">
        <v>2023</v>
      </c>
      <c r="D12" s="173">
        <v>11</v>
      </c>
      <c r="E12" s="172" t="s">
        <v>116</v>
      </c>
      <c r="F12" s="172" t="s">
        <v>150</v>
      </c>
      <c r="G12" s="81" t="s">
        <v>227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25" customHeight="1">
      <c r="A13" s="81">
        <f t="shared" si="0"/>
        <v>12</v>
      </c>
      <c r="B13" s="172" t="s">
        <v>1228</v>
      </c>
      <c r="C13" s="81">
        <v>2023</v>
      </c>
      <c r="D13" s="173">
        <v>26</v>
      </c>
      <c r="E13" s="172" t="s">
        <v>1229</v>
      </c>
      <c r="F13" s="172" t="s">
        <v>117</v>
      </c>
      <c r="G13" s="81" t="s">
        <v>1221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25" customHeight="1">
      <c r="A14" s="81">
        <f t="shared" si="0"/>
        <v>13</v>
      </c>
      <c r="B14" s="172" t="s">
        <v>1230</v>
      </c>
      <c r="C14" s="81">
        <v>2023</v>
      </c>
      <c r="D14" s="173">
        <v>82</v>
      </c>
      <c r="E14" s="172" t="s">
        <v>1231</v>
      </c>
      <c r="F14" s="172" t="s">
        <v>150</v>
      </c>
      <c r="G14" s="81" t="s">
        <v>202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25" customHeight="1">
      <c r="A15" s="81">
        <f t="shared" si="0"/>
        <v>14</v>
      </c>
      <c r="B15" s="172" t="s">
        <v>1232</v>
      </c>
      <c r="C15" s="81">
        <v>2023</v>
      </c>
      <c r="D15" s="173">
        <v>86</v>
      </c>
      <c r="E15" s="172" t="s">
        <v>116</v>
      </c>
      <c r="F15" s="172" t="s">
        <v>182</v>
      </c>
      <c r="G15" s="81" t="s">
        <v>1221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25" customHeight="1">
      <c r="A16" s="81">
        <f t="shared" si="0"/>
        <v>15</v>
      </c>
      <c r="B16" s="172" t="s">
        <v>1233</v>
      </c>
      <c r="C16" s="81">
        <v>2023</v>
      </c>
      <c r="D16" s="173">
        <v>90</v>
      </c>
      <c r="E16" s="172" t="s">
        <v>138</v>
      </c>
      <c r="F16" s="172" t="s">
        <v>150</v>
      </c>
      <c r="G16" s="81" t="s">
        <v>118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3.25" customHeight="1">
      <c r="A17" s="81">
        <f t="shared" si="0"/>
        <v>16</v>
      </c>
      <c r="B17" s="172" t="s">
        <v>1234</v>
      </c>
      <c r="C17" s="81">
        <v>2023</v>
      </c>
      <c r="D17" s="173">
        <v>96</v>
      </c>
      <c r="E17" s="172" t="s">
        <v>296</v>
      </c>
      <c r="F17" s="172" t="s">
        <v>150</v>
      </c>
      <c r="G17" s="81" t="s">
        <v>152</v>
      </c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25" customHeight="1">
      <c r="A18" s="81">
        <f t="shared" si="0"/>
        <v>17</v>
      </c>
      <c r="B18" s="172" t="s">
        <v>1235</v>
      </c>
      <c r="C18" s="81">
        <v>2023</v>
      </c>
      <c r="D18" s="173">
        <v>102</v>
      </c>
      <c r="E18" s="172" t="s">
        <v>116</v>
      </c>
      <c r="F18" s="172" t="s">
        <v>150</v>
      </c>
      <c r="G18" s="81" t="s">
        <v>227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3.25" customHeight="1">
      <c r="A19" s="81">
        <f t="shared" si="0"/>
        <v>18</v>
      </c>
      <c r="B19" s="172" t="s">
        <v>1236</v>
      </c>
      <c r="C19" s="81">
        <v>2023</v>
      </c>
      <c r="D19" s="173">
        <v>106</v>
      </c>
      <c r="E19" s="172" t="s">
        <v>116</v>
      </c>
      <c r="F19" s="172" t="s">
        <v>150</v>
      </c>
      <c r="G19" s="81" t="s">
        <v>227</v>
      </c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25" customHeight="1">
      <c r="A20" s="81">
        <f t="shared" si="0"/>
        <v>19</v>
      </c>
      <c r="B20" s="172" t="s">
        <v>1237</v>
      </c>
      <c r="C20" s="81">
        <v>2023</v>
      </c>
      <c r="D20" s="173">
        <v>117</v>
      </c>
      <c r="E20" s="172" t="s">
        <v>138</v>
      </c>
      <c r="F20" s="172" t="s">
        <v>182</v>
      </c>
      <c r="G20" s="81" t="s">
        <v>1221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25" customHeight="1">
      <c r="A21" s="81">
        <f t="shared" si="0"/>
        <v>20</v>
      </c>
      <c r="B21" s="172" t="s">
        <v>1238</v>
      </c>
      <c r="C21" s="81">
        <v>2023</v>
      </c>
      <c r="D21" s="173">
        <v>122</v>
      </c>
      <c r="E21" s="172" t="s">
        <v>1229</v>
      </c>
      <c r="F21" s="172" t="s">
        <v>117</v>
      </c>
      <c r="G21" s="81" t="s">
        <v>227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25" customHeight="1">
      <c r="A22" s="81">
        <f t="shared" si="0"/>
        <v>21</v>
      </c>
      <c r="B22" s="172" t="s">
        <v>1239</v>
      </c>
      <c r="C22" s="81">
        <v>2023</v>
      </c>
      <c r="D22" s="173">
        <v>123</v>
      </c>
      <c r="E22" s="172" t="s">
        <v>1240</v>
      </c>
      <c r="F22" s="172" t="s">
        <v>182</v>
      </c>
      <c r="G22" s="81" t="s">
        <v>227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25" customHeight="1">
      <c r="A23" s="81">
        <f t="shared" si="0"/>
        <v>22</v>
      </c>
      <c r="B23" s="172" t="s">
        <v>1241</v>
      </c>
      <c r="C23" s="81">
        <v>2023</v>
      </c>
      <c r="D23" s="173">
        <v>127</v>
      </c>
      <c r="E23" s="172" t="s">
        <v>138</v>
      </c>
      <c r="F23" s="172" t="s">
        <v>117</v>
      </c>
      <c r="G23" s="81" t="s">
        <v>152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25" customHeight="1">
      <c r="A24" s="81">
        <f t="shared" si="0"/>
        <v>23</v>
      </c>
      <c r="B24" s="172" t="s">
        <v>1242</v>
      </c>
      <c r="C24" s="81">
        <v>2023</v>
      </c>
      <c r="D24" s="173">
        <v>135</v>
      </c>
      <c r="E24" s="172" t="s">
        <v>138</v>
      </c>
      <c r="F24" s="172" t="s">
        <v>117</v>
      </c>
      <c r="G24" s="81" t="s">
        <v>227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25" customHeight="1">
      <c r="A25" s="81">
        <f t="shared" si="0"/>
        <v>24</v>
      </c>
      <c r="B25" s="172" t="s">
        <v>1243</v>
      </c>
      <c r="C25" s="81">
        <v>2023</v>
      </c>
      <c r="D25" s="173">
        <v>147</v>
      </c>
      <c r="E25" s="172" t="s">
        <v>138</v>
      </c>
      <c r="F25" s="172" t="s">
        <v>117</v>
      </c>
      <c r="G25" s="81" t="s">
        <v>1221</v>
      </c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25" customHeight="1">
      <c r="A26" s="81">
        <f t="shared" si="0"/>
        <v>25</v>
      </c>
      <c r="B26" s="172" t="s">
        <v>1244</v>
      </c>
      <c r="C26" s="81">
        <v>2024</v>
      </c>
      <c r="D26" s="173">
        <v>1</v>
      </c>
      <c r="E26" s="172" t="s">
        <v>1231</v>
      </c>
      <c r="F26" s="172" t="s">
        <v>150</v>
      </c>
      <c r="G26" s="81" t="s">
        <v>227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25" customHeight="1">
      <c r="A27" s="81">
        <f t="shared" si="0"/>
        <v>26</v>
      </c>
      <c r="B27" s="172" t="s">
        <v>1245</v>
      </c>
      <c r="C27" s="81">
        <v>2024</v>
      </c>
      <c r="D27" s="173">
        <v>4</v>
      </c>
      <c r="E27" s="172" t="s">
        <v>429</v>
      </c>
      <c r="F27" s="172" t="s">
        <v>117</v>
      </c>
      <c r="G27" s="81" t="s">
        <v>202</v>
      </c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25" customHeight="1">
      <c r="A28" s="81">
        <f t="shared" si="0"/>
        <v>27</v>
      </c>
      <c r="B28" s="172" t="s">
        <v>1246</v>
      </c>
      <c r="C28" s="81">
        <v>2024</v>
      </c>
      <c r="D28" s="173">
        <v>5</v>
      </c>
      <c r="E28" s="172" t="s">
        <v>138</v>
      </c>
      <c r="F28" s="172" t="s">
        <v>117</v>
      </c>
      <c r="G28" s="81" t="s">
        <v>118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25" customHeight="1">
      <c r="A29" s="81">
        <f t="shared" si="0"/>
        <v>28</v>
      </c>
      <c r="B29" s="172" t="s">
        <v>1247</v>
      </c>
      <c r="C29" s="81">
        <v>2024</v>
      </c>
      <c r="D29" s="173">
        <v>16</v>
      </c>
      <c r="E29" s="172" t="s">
        <v>138</v>
      </c>
      <c r="F29" s="172" t="s">
        <v>182</v>
      </c>
      <c r="G29" s="81" t="s">
        <v>118</v>
      </c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25" customHeight="1">
      <c r="A30" s="81">
        <f t="shared" si="0"/>
        <v>29</v>
      </c>
      <c r="B30" s="172" t="s">
        <v>1248</v>
      </c>
      <c r="C30" s="81">
        <v>2024</v>
      </c>
      <c r="D30" s="173">
        <v>18</v>
      </c>
      <c r="E30" s="172" t="s">
        <v>138</v>
      </c>
      <c r="F30" s="172" t="s">
        <v>117</v>
      </c>
      <c r="G30" s="81" t="s">
        <v>202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25" customHeight="1">
      <c r="A31" s="81">
        <f t="shared" si="0"/>
        <v>30</v>
      </c>
      <c r="B31" s="172" t="s">
        <v>1249</v>
      </c>
      <c r="C31" s="81">
        <v>2024</v>
      </c>
      <c r="D31" s="173">
        <v>19</v>
      </c>
      <c r="E31" s="172" t="s">
        <v>116</v>
      </c>
      <c r="F31" s="172" t="s">
        <v>182</v>
      </c>
      <c r="G31" s="81" t="s">
        <v>227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25" customHeight="1">
      <c r="A32" s="81">
        <f t="shared" si="0"/>
        <v>31</v>
      </c>
      <c r="B32" s="172" t="s">
        <v>1250</v>
      </c>
      <c r="C32" s="81">
        <v>2024</v>
      </c>
      <c r="D32" s="173">
        <v>37</v>
      </c>
      <c r="E32" s="172" t="s">
        <v>1229</v>
      </c>
      <c r="F32" s="172" t="s">
        <v>117</v>
      </c>
      <c r="G32" s="81" t="s">
        <v>202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25" customHeight="1">
      <c r="A33" s="81">
        <f t="shared" si="0"/>
        <v>32</v>
      </c>
      <c r="B33" s="172" t="s">
        <v>1251</v>
      </c>
      <c r="C33" s="81">
        <v>2024</v>
      </c>
      <c r="D33" s="173">
        <v>39</v>
      </c>
      <c r="E33" s="172" t="s">
        <v>116</v>
      </c>
      <c r="F33" s="172" t="s">
        <v>117</v>
      </c>
      <c r="G33" s="81" t="s">
        <v>202</v>
      </c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25" customHeight="1">
      <c r="A34" s="81">
        <f t="shared" si="0"/>
        <v>33</v>
      </c>
      <c r="B34" s="172" t="s">
        <v>1252</v>
      </c>
      <c r="C34" s="81">
        <v>2024</v>
      </c>
      <c r="D34" s="173">
        <v>42</v>
      </c>
      <c r="E34" s="172" t="s">
        <v>138</v>
      </c>
      <c r="F34" s="172" t="s">
        <v>117</v>
      </c>
      <c r="G34" s="81" t="s">
        <v>227</v>
      </c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25" customHeight="1">
      <c r="A35" s="81">
        <f t="shared" si="0"/>
        <v>34</v>
      </c>
      <c r="B35" s="172" t="s">
        <v>1253</v>
      </c>
      <c r="C35" s="81">
        <v>2024</v>
      </c>
      <c r="D35" s="173">
        <v>51</v>
      </c>
      <c r="E35" s="172" t="s">
        <v>429</v>
      </c>
      <c r="F35" s="172" t="s">
        <v>117</v>
      </c>
      <c r="G35" s="81" t="s">
        <v>202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25" customHeight="1">
      <c r="A36" s="81">
        <f t="shared" si="0"/>
        <v>35</v>
      </c>
      <c r="B36" s="172" t="s">
        <v>1254</v>
      </c>
      <c r="C36" s="81">
        <v>2024</v>
      </c>
      <c r="D36" s="173">
        <v>52</v>
      </c>
      <c r="E36" s="172" t="s">
        <v>1224</v>
      </c>
      <c r="F36" s="172" t="s">
        <v>117</v>
      </c>
      <c r="G36" s="81" t="s">
        <v>1221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25" customHeight="1">
      <c r="A37" s="81">
        <f t="shared" si="0"/>
        <v>36</v>
      </c>
      <c r="B37" s="172" t="s">
        <v>1255</v>
      </c>
      <c r="C37" s="81">
        <v>2024</v>
      </c>
      <c r="D37" s="173">
        <v>54</v>
      </c>
      <c r="E37" s="172" t="s">
        <v>138</v>
      </c>
      <c r="F37" s="172" t="s">
        <v>117</v>
      </c>
      <c r="G37" s="81" t="s">
        <v>1221</v>
      </c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25" customHeight="1">
      <c r="A38" s="81">
        <f t="shared" si="0"/>
        <v>37</v>
      </c>
      <c r="B38" s="172" t="s">
        <v>1256</v>
      </c>
      <c r="C38" s="81">
        <v>2024</v>
      </c>
      <c r="D38" s="173">
        <v>56</v>
      </c>
      <c r="E38" s="172" t="s">
        <v>138</v>
      </c>
      <c r="F38" s="172" t="s">
        <v>182</v>
      </c>
      <c r="G38" s="81" t="s">
        <v>227</v>
      </c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25" customHeight="1">
      <c r="A39" s="81">
        <f t="shared" si="0"/>
        <v>38</v>
      </c>
      <c r="B39" s="172" t="s">
        <v>1257</v>
      </c>
      <c r="C39" s="81">
        <v>2024</v>
      </c>
      <c r="D39" s="173">
        <v>59</v>
      </c>
      <c r="E39" s="172" t="s">
        <v>138</v>
      </c>
      <c r="F39" s="172" t="s">
        <v>182</v>
      </c>
      <c r="G39" s="81" t="s">
        <v>227</v>
      </c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25" customHeight="1">
      <c r="A40" s="81">
        <f t="shared" si="0"/>
        <v>39</v>
      </c>
      <c r="B40" s="172" t="s">
        <v>1258</v>
      </c>
      <c r="C40" s="81">
        <v>2024</v>
      </c>
      <c r="D40" s="173">
        <v>60</v>
      </c>
      <c r="E40" s="172" t="s">
        <v>138</v>
      </c>
      <c r="F40" s="172" t="s">
        <v>117</v>
      </c>
      <c r="G40" s="81" t="s">
        <v>202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25" customHeight="1">
      <c r="A41" s="81">
        <f t="shared" si="0"/>
        <v>40</v>
      </c>
      <c r="B41" s="172" t="s">
        <v>1259</v>
      </c>
      <c r="C41" s="81">
        <v>2024</v>
      </c>
      <c r="D41" s="173">
        <v>69</v>
      </c>
      <c r="E41" s="172" t="s">
        <v>296</v>
      </c>
      <c r="F41" s="172" t="s">
        <v>182</v>
      </c>
      <c r="G41" s="81" t="s">
        <v>227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25" customHeight="1">
      <c r="A42" s="81">
        <f t="shared" si="0"/>
        <v>41</v>
      </c>
      <c r="B42" s="172" t="s">
        <v>1260</v>
      </c>
      <c r="C42" s="81">
        <v>2024</v>
      </c>
      <c r="D42" s="173">
        <v>70</v>
      </c>
      <c r="E42" s="172" t="s">
        <v>138</v>
      </c>
      <c r="F42" s="172" t="s">
        <v>182</v>
      </c>
      <c r="G42" s="81" t="s">
        <v>227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25" customHeight="1">
      <c r="A43" s="81">
        <f t="shared" si="0"/>
        <v>42</v>
      </c>
      <c r="B43" s="172" t="s">
        <v>1261</v>
      </c>
      <c r="C43" s="81">
        <v>2024</v>
      </c>
      <c r="D43" s="173">
        <v>75</v>
      </c>
      <c r="E43" s="172" t="s">
        <v>138</v>
      </c>
      <c r="F43" s="172" t="s">
        <v>117</v>
      </c>
      <c r="G43" s="81" t="s">
        <v>202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25" customHeight="1">
      <c r="A44" s="81">
        <f t="shared" si="0"/>
        <v>43</v>
      </c>
      <c r="B44" s="172" t="s">
        <v>1262</v>
      </c>
      <c r="C44" s="81">
        <v>2024</v>
      </c>
      <c r="D44" s="173">
        <v>78</v>
      </c>
      <c r="E44" s="172" t="s">
        <v>269</v>
      </c>
      <c r="F44" s="172" t="s">
        <v>182</v>
      </c>
      <c r="G44" s="81" t="s">
        <v>227</v>
      </c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25" customHeight="1">
      <c r="A45" s="81">
        <f t="shared" si="0"/>
        <v>44</v>
      </c>
      <c r="B45" s="172" t="s">
        <v>1263</v>
      </c>
      <c r="C45" s="81">
        <v>2024</v>
      </c>
      <c r="D45" s="173">
        <v>79</v>
      </c>
      <c r="E45" s="172" t="s">
        <v>296</v>
      </c>
      <c r="F45" s="172" t="s">
        <v>117</v>
      </c>
      <c r="G45" s="81" t="s">
        <v>202</v>
      </c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25" customHeight="1">
      <c r="A46" s="81">
        <f t="shared" si="0"/>
        <v>45</v>
      </c>
      <c r="B46" s="172" t="s">
        <v>1264</v>
      </c>
      <c r="C46" s="81">
        <v>2024</v>
      </c>
      <c r="D46" s="173">
        <v>82</v>
      </c>
      <c r="E46" s="172" t="s">
        <v>1231</v>
      </c>
      <c r="F46" s="172" t="s">
        <v>117</v>
      </c>
      <c r="G46" s="81" t="s">
        <v>202</v>
      </c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25" customHeight="1">
      <c r="A47" s="81">
        <f t="shared" si="0"/>
        <v>46</v>
      </c>
      <c r="B47" s="172" t="s">
        <v>1265</v>
      </c>
      <c r="C47" s="81">
        <v>2024</v>
      </c>
      <c r="D47" s="173">
        <v>84</v>
      </c>
      <c r="E47" s="172" t="s">
        <v>160</v>
      </c>
      <c r="F47" s="172" t="s">
        <v>182</v>
      </c>
      <c r="G47" s="81" t="s">
        <v>227</v>
      </c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25" customHeight="1">
      <c r="A48" s="81">
        <f t="shared" si="0"/>
        <v>47</v>
      </c>
      <c r="B48" s="172" t="s">
        <v>1266</v>
      </c>
      <c r="C48" s="81">
        <v>2024</v>
      </c>
      <c r="D48" s="173">
        <v>85</v>
      </c>
      <c r="E48" s="172" t="s">
        <v>138</v>
      </c>
      <c r="F48" s="172" t="s">
        <v>182</v>
      </c>
      <c r="G48" s="81" t="s">
        <v>227</v>
      </c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25" customHeight="1">
      <c r="A49" s="81">
        <f t="shared" si="0"/>
        <v>48</v>
      </c>
      <c r="B49" s="172" t="s">
        <v>1267</v>
      </c>
      <c r="C49" s="81">
        <v>2024</v>
      </c>
      <c r="D49" s="173">
        <v>86</v>
      </c>
      <c r="E49" s="172" t="s">
        <v>1240</v>
      </c>
      <c r="F49" s="172" t="s">
        <v>182</v>
      </c>
      <c r="G49" s="81" t="s">
        <v>227</v>
      </c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25" customHeight="1">
      <c r="A50" s="81">
        <f t="shared" si="0"/>
        <v>49</v>
      </c>
      <c r="B50" s="172" t="s">
        <v>1268</v>
      </c>
      <c r="C50" s="81">
        <v>2024</v>
      </c>
      <c r="D50" s="173">
        <v>89</v>
      </c>
      <c r="E50" s="172" t="s">
        <v>116</v>
      </c>
      <c r="F50" s="172" t="s">
        <v>182</v>
      </c>
      <c r="G50" s="81" t="s">
        <v>227</v>
      </c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25" customHeight="1">
      <c r="A51" s="81">
        <f t="shared" si="0"/>
        <v>50</v>
      </c>
      <c r="B51" s="172" t="s">
        <v>1269</v>
      </c>
      <c r="C51" s="81">
        <v>2024</v>
      </c>
      <c r="D51" s="173">
        <v>93</v>
      </c>
      <c r="E51" s="172" t="s">
        <v>1270</v>
      </c>
      <c r="F51" s="172" t="s">
        <v>150</v>
      </c>
      <c r="G51" s="81" t="s">
        <v>202</v>
      </c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25" customHeight="1">
      <c r="A52" s="81">
        <f t="shared" si="0"/>
        <v>51</v>
      </c>
      <c r="B52" s="172" t="s">
        <v>1271</v>
      </c>
      <c r="C52" s="81">
        <v>2024</v>
      </c>
      <c r="D52" s="173">
        <v>99</v>
      </c>
      <c r="E52" s="172" t="s">
        <v>1272</v>
      </c>
      <c r="F52" s="172" t="s">
        <v>182</v>
      </c>
      <c r="G52" s="81" t="s">
        <v>227</v>
      </c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25" customHeight="1">
      <c r="A53" s="81">
        <f t="shared" si="0"/>
        <v>52</v>
      </c>
      <c r="B53" s="172" t="s">
        <v>1273</v>
      </c>
      <c r="C53" s="81">
        <v>2024</v>
      </c>
      <c r="D53" s="173">
        <v>100</v>
      </c>
      <c r="E53" s="172" t="s">
        <v>138</v>
      </c>
      <c r="F53" s="172" t="s">
        <v>117</v>
      </c>
      <c r="G53" s="81" t="s">
        <v>227</v>
      </c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25" customHeight="1">
      <c r="A54" s="81">
        <f t="shared" si="0"/>
        <v>53</v>
      </c>
      <c r="B54" s="172" t="s">
        <v>1274</v>
      </c>
      <c r="C54" s="81">
        <v>2024</v>
      </c>
      <c r="D54" s="173">
        <v>106</v>
      </c>
      <c r="E54" s="172" t="s">
        <v>1224</v>
      </c>
      <c r="F54" s="172" t="s">
        <v>117</v>
      </c>
      <c r="G54" s="81" t="s">
        <v>1221</v>
      </c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25" customHeight="1">
      <c r="A55" s="81">
        <f t="shared" si="0"/>
        <v>54</v>
      </c>
      <c r="B55" s="172" t="s">
        <v>1275</v>
      </c>
      <c r="C55" s="81">
        <v>2024</v>
      </c>
      <c r="D55" s="173">
        <v>110</v>
      </c>
      <c r="E55" s="172" t="s">
        <v>1224</v>
      </c>
      <c r="F55" s="172" t="s">
        <v>117</v>
      </c>
      <c r="G55" s="81" t="s">
        <v>227</v>
      </c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25" customHeight="1">
      <c r="A56" s="81">
        <f t="shared" si="0"/>
        <v>55</v>
      </c>
      <c r="B56" s="172" t="s">
        <v>1276</v>
      </c>
      <c r="C56" s="81">
        <v>2024</v>
      </c>
      <c r="D56" s="173">
        <v>111</v>
      </c>
      <c r="E56" s="172" t="s">
        <v>296</v>
      </c>
      <c r="F56" s="172" t="s">
        <v>117</v>
      </c>
      <c r="G56" s="81" t="s">
        <v>227</v>
      </c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25" customHeight="1">
      <c r="A57" s="81">
        <f t="shared" si="0"/>
        <v>56</v>
      </c>
      <c r="B57" s="172" t="s">
        <v>1277</v>
      </c>
      <c r="C57" s="81">
        <v>2024</v>
      </c>
      <c r="D57" s="173">
        <v>114</v>
      </c>
      <c r="E57" s="172" t="s">
        <v>138</v>
      </c>
      <c r="F57" s="172" t="s">
        <v>117</v>
      </c>
      <c r="G57" s="81" t="s">
        <v>1221</v>
      </c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25" customHeight="1">
      <c r="A58" s="81">
        <f t="shared" si="0"/>
        <v>57</v>
      </c>
      <c r="B58" s="172" t="s">
        <v>1278</v>
      </c>
      <c r="C58" s="81">
        <v>2024</v>
      </c>
      <c r="D58" s="173">
        <v>115</v>
      </c>
      <c r="E58" s="172" t="s">
        <v>138</v>
      </c>
      <c r="F58" s="172" t="s">
        <v>182</v>
      </c>
      <c r="G58" s="81" t="s">
        <v>227</v>
      </c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25" customHeight="1">
      <c r="A59" s="81">
        <f t="shared" si="0"/>
        <v>58</v>
      </c>
      <c r="B59" s="172" t="s">
        <v>1282</v>
      </c>
      <c r="C59" s="81">
        <v>2024</v>
      </c>
      <c r="D59" s="173">
        <v>117</v>
      </c>
      <c r="E59" s="172" t="s">
        <v>1231</v>
      </c>
      <c r="F59" s="172" t="s">
        <v>150</v>
      </c>
      <c r="G59" s="81" t="s">
        <v>227</v>
      </c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25" customHeight="1">
      <c r="A60" s="81">
        <f t="shared" si="0"/>
        <v>59</v>
      </c>
      <c r="B60" s="172" t="s">
        <v>1283</v>
      </c>
      <c r="C60" s="81">
        <v>2024</v>
      </c>
      <c r="D60" s="173">
        <v>120</v>
      </c>
      <c r="E60" s="172" t="s">
        <v>116</v>
      </c>
      <c r="F60" s="172" t="s">
        <v>117</v>
      </c>
      <c r="G60" s="81" t="s">
        <v>202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25" customHeight="1">
      <c r="A61" s="81">
        <f t="shared" si="0"/>
        <v>60</v>
      </c>
      <c r="B61" s="172" t="s">
        <v>1284</v>
      </c>
      <c r="C61" s="81">
        <v>2024</v>
      </c>
      <c r="D61" s="173">
        <v>121</v>
      </c>
      <c r="E61" s="172" t="s">
        <v>429</v>
      </c>
      <c r="F61" s="172" t="s">
        <v>182</v>
      </c>
      <c r="G61" s="81" t="s">
        <v>152</v>
      </c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25" customHeight="1">
      <c r="A62" s="81">
        <f t="shared" si="0"/>
        <v>61</v>
      </c>
      <c r="B62" s="172" t="s">
        <v>1285</v>
      </c>
      <c r="C62" s="81">
        <v>2024</v>
      </c>
      <c r="D62" s="173">
        <v>122</v>
      </c>
      <c r="E62" s="172" t="s">
        <v>116</v>
      </c>
      <c r="F62" s="172" t="s">
        <v>117</v>
      </c>
      <c r="G62" s="81" t="s">
        <v>202</v>
      </c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25" customHeight="1">
      <c r="A63" s="81">
        <f t="shared" si="0"/>
        <v>62</v>
      </c>
      <c r="B63" s="172" t="s">
        <v>1286</v>
      </c>
      <c r="C63" s="81">
        <v>2024</v>
      </c>
      <c r="D63" s="173">
        <v>125</v>
      </c>
      <c r="E63" s="172" t="s">
        <v>1287</v>
      </c>
      <c r="F63" s="172" t="s">
        <v>117</v>
      </c>
      <c r="G63" s="81" t="s">
        <v>1221</v>
      </c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25" customHeight="1">
      <c r="A64" s="81">
        <f t="shared" si="0"/>
        <v>63</v>
      </c>
      <c r="B64" s="172" t="s">
        <v>1288</v>
      </c>
      <c r="C64" s="81">
        <v>2024</v>
      </c>
      <c r="D64" s="173">
        <v>128</v>
      </c>
      <c r="E64" s="172" t="s">
        <v>138</v>
      </c>
      <c r="F64" s="172" t="s">
        <v>182</v>
      </c>
      <c r="G64" s="81" t="s">
        <v>227</v>
      </c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25" customHeight="1">
      <c r="A65" s="81">
        <f t="shared" si="0"/>
        <v>64</v>
      </c>
      <c r="B65" s="172" t="s">
        <v>1289</v>
      </c>
      <c r="C65" s="81">
        <v>2024</v>
      </c>
      <c r="D65" s="173">
        <v>130</v>
      </c>
      <c r="E65" s="172" t="s">
        <v>1231</v>
      </c>
      <c r="F65" s="172" t="s">
        <v>182</v>
      </c>
      <c r="G65" s="81" t="s">
        <v>227</v>
      </c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25" customHeight="1">
      <c r="A66" s="81">
        <f t="shared" si="0"/>
        <v>65</v>
      </c>
      <c r="B66" s="172" t="s">
        <v>1290</v>
      </c>
      <c r="C66" s="81">
        <v>2024</v>
      </c>
      <c r="D66" s="173">
        <v>133</v>
      </c>
      <c r="E66" s="172" t="s">
        <v>1231</v>
      </c>
      <c r="F66" s="172" t="s">
        <v>117</v>
      </c>
      <c r="G66" s="81" t="s">
        <v>227</v>
      </c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25" customHeight="1">
      <c r="A67" s="81">
        <f t="shared" si="0"/>
        <v>66</v>
      </c>
      <c r="B67" s="172" t="s">
        <v>1291</v>
      </c>
      <c r="C67" s="81">
        <v>2024</v>
      </c>
      <c r="D67" s="173">
        <v>136</v>
      </c>
      <c r="E67" s="172" t="s">
        <v>116</v>
      </c>
      <c r="F67" s="172" t="s">
        <v>117</v>
      </c>
      <c r="G67" s="81" t="s">
        <v>202</v>
      </c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25" customHeight="1">
      <c r="A68" s="81">
        <f t="shared" si="0"/>
        <v>67</v>
      </c>
      <c r="B68" s="172" t="s">
        <v>1292</v>
      </c>
      <c r="C68" s="81">
        <v>2024</v>
      </c>
      <c r="D68" s="173">
        <v>139</v>
      </c>
      <c r="E68" s="172" t="s">
        <v>116</v>
      </c>
      <c r="F68" s="172" t="s">
        <v>182</v>
      </c>
      <c r="G68" s="81" t="s">
        <v>227</v>
      </c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25" customHeight="1">
      <c r="A69" s="81">
        <f t="shared" si="0"/>
        <v>68</v>
      </c>
      <c r="B69" s="172" t="s">
        <v>1293</v>
      </c>
      <c r="C69" s="81">
        <v>2024</v>
      </c>
      <c r="D69" s="173">
        <v>142</v>
      </c>
      <c r="E69" s="172" t="s">
        <v>138</v>
      </c>
      <c r="F69" s="172" t="s">
        <v>117</v>
      </c>
      <c r="G69" s="81" t="s">
        <v>227</v>
      </c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25" customHeight="1">
      <c r="A70" s="81">
        <f t="shared" si="0"/>
        <v>69</v>
      </c>
      <c r="B70" s="172" t="s">
        <v>1294</v>
      </c>
      <c r="C70" s="81">
        <v>2024</v>
      </c>
      <c r="D70" s="173">
        <v>143</v>
      </c>
      <c r="E70" s="172" t="s">
        <v>296</v>
      </c>
      <c r="F70" s="172" t="s">
        <v>117</v>
      </c>
      <c r="G70" s="81" t="s">
        <v>227</v>
      </c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25" customHeight="1">
      <c r="A71" s="81">
        <f t="shared" si="0"/>
        <v>70</v>
      </c>
      <c r="B71" s="172" t="s">
        <v>1295</v>
      </c>
      <c r="C71" s="81">
        <v>2024</v>
      </c>
      <c r="D71" s="173">
        <v>149</v>
      </c>
      <c r="E71" s="172" t="s">
        <v>138</v>
      </c>
      <c r="F71" s="172" t="s">
        <v>117</v>
      </c>
      <c r="G71" s="81" t="s">
        <v>202</v>
      </c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25" customHeight="1">
      <c r="A72" s="81">
        <f t="shared" si="0"/>
        <v>71</v>
      </c>
      <c r="B72" s="172" t="s">
        <v>1296</v>
      </c>
      <c r="C72" s="81">
        <v>2024</v>
      </c>
      <c r="D72" s="173">
        <v>151</v>
      </c>
      <c r="E72" s="172" t="s">
        <v>1231</v>
      </c>
      <c r="F72" s="172" t="s">
        <v>117</v>
      </c>
      <c r="G72" s="81" t="s">
        <v>227</v>
      </c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25" customHeight="1">
      <c r="A73" s="81">
        <f t="shared" si="0"/>
        <v>72</v>
      </c>
      <c r="B73" s="172" t="s">
        <v>1297</v>
      </c>
      <c r="C73" s="81">
        <v>2024</v>
      </c>
      <c r="D73" s="173">
        <v>154</v>
      </c>
      <c r="E73" s="172" t="s">
        <v>116</v>
      </c>
      <c r="F73" s="172" t="s">
        <v>117</v>
      </c>
      <c r="G73" s="81" t="s">
        <v>227</v>
      </c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25" customHeight="1">
      <c r="A74" s="81">
        <f t="shared" si="0"/>
        <v>73</v>
      </c>
      <c r="B74" s="172" t="s">
        <v>1298</v>
      </c>
      <c r="C74" s="81">
        <v>2024</v>
      </c>
      <c r="D74" s="173">
        <v>155</v>
      </c>
      <c r="E74" s="172" t="s">
        <v>1231</v>
      </c>
      <c r="F74" s="172" t="s">
        <v>182</v>
      </c>
      <c r="G74" s="81" t="s">
        <v>227</v>
      </c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25" customHeight="1">
      <c r="A75" s="81">
        <f t="shared" si="0"/>
        <v>74</v>
      </c>
      <c r="B75" s="172" t="s">
        <v>1299</v>
      </c>
      <c r="C75" s="81">
        <v>2025</v>
      </c>
      <c r="D75" s="173">
        <v>2</v>
      </c>
      <c r="E75" s="172" t="s">
        <v>138</v>
      </c>
      <c r="F75" s="172" t="s">
        <v>117</v>
      </c>
      <c r="G75" s="81" t="s">
        <v>227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25" customHeight="1">
      <c r="A76" s="81">
        <f t="shared" si="0"/>
        <v>75</v>
      </c>
      <c r="B76" s="172" t="s">
        <v>1300</v>
      </c>
      <c r="C76" s="81">
        <v>2025</v>
      </c>
      <c r="D76" s="173">
        <v>4</v>
      </c>
      <c r="E76" s="172" t="s">
        <v>138</v>
      </c>
      <c r="F76" s="172" t="s">
        <v>117</v>
      </c>
      <c r="G76" s="81" t="s">
        <v>202</v>
      </c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25" customHeight="1">
      <c r="A77" s="81">
        <f t="shared" si="0"/>
        <v>76</v>
      </c>
      <c r="B77" s="172" t="s">
        <v>1301</v>
      </c>
      <c r="C77" s="81">
        <v>2025</v>
      </c>
      <c r="D77" s="173">
        <v>11</v>
      </c>
      <c r="E77" s="172" t="s">
        <v>1302</v>
      </c>
      <c r="F77" s="172" t="s">
        <v>117</v>
      </c>
      <c r="G77" s="81" t="s">
        <v>227</v>
      </c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25" customHeight="1">
      <c r="A78" s="81">
        <f t="shared" si="0"/>
        <v>77</v>
      </c>
      <c r="B78" s="172" t="s">
        <v>1303</v>
      </c>
      <c r="C78" s="81">
        <v>2025</v>
      </c>
      <c r="D78" s="173">
        <v>13</v>
      </c>
      <c r="E78" s="172" t="s">
        <v>138</v>
      </c>
      <c r="F78" s="172" t="s">
        <v>117</v>
      </c>
      <c r="G78" s="81" t="s">
        <v>227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25" customHeight="1">
      <c r="A79" s="81">
        <f t="shared" si="0"/>
        <v>78</v>
      </c>
      <c r="B79" s="172" t="s">
        <v>1249</v>
      </c>
      <c r="C79" s="81">
        <v>2025</v>
      </c>
      <c r="D79" s="173">
        <v>14</v>
      </c>
      <c r="E79" s="172" t="s">
        <v>116</v>
      </c>
      <c r="F79" s="172" t="s">
        <v>182</v>
      </c>
      <c r="G79" s="81" t="s">
        <v>227</v>
      </c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25" customHeight="1">
      <c r="A80" s="81">
        <f t="shared" si="0"/>
        <v>79</v>
      </c>
      <c r="B80" s="172" t="s">
        <v>1304</v>
      </c>
      <c r="C80" s="81">
        <v>2025</v>
      </c>
      <c r="D80" s="173">
        <v>16</v>
      </c>
      <c r="E80" s="172" t="s">
        <v>296</v>
      </c>
      <c r="F80" s="172" t="s">
        <v>117</v>
      </c>
      <c r="G80" s="81" t="s">
        <v>227</v>
      </c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25" customHeight="1">
      <c r="A81" s="81">
        <f t="shared" si="0"/>
        <v>80</v>
      </c>
      <c r="B81" s="172" t="s">
        <v>1305</v>
      </c>
      <c r="C81" s="81">
        <v>2025</v>
      </c>
      <c r="D81" s="173">
        <v>17</v>
      </c>
      <c r="E81" s="172" t="s">
        <v>296</v>
      </c>
      <c r="F81" s="172" t="s">
        <v>182</v>
      </c>
      <c r="G81" s="81" t="s">
        <v>227</v>
      </c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25" customHeight="1">
      <c r="A82" s="81">
        <f t="shared" si="0"/>
        <v>81</v>
      </c>
      <c r="B82" s="172" t="s">
        <v>1306</v>
      </c>
      <c r="C82" s="81">
        <v>2025</v>
      </c>
      <c r="D82" s="173">
        <v>18</v>
      </c>
      <c r="E82" s="172" t="s">
        <v>138</v>
      </c>
      <c r="F82" s="172" t="s">
        <v>150</v>
      </c>
      <c r="G82" s="81" t="s">
        <v>227</v>
      </c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25" customHeight="1">
      <c r="A83" s="81">
        <f t="shared" si="0"/>
        <v>82</v>
      </c>
      <c r="B83" s="172" t="s">
        <v>1307</v>
      </c>
      <c r="C83" s="81">
        <v>2025</v>
      </c>
      <c r="D83" s="173">
        <v>19</v>
      </c>
      <c r="E83" s="172" t="s">
        <v>1308</v>
      </c>
      <c r="F83" s="172" t="s">
        <v>117</v>
      </c>
      <c r="G83" s="81" t="s">
        <v>227</v>
      </c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25" customHeight="1">
      <c r="A84" s="81">
        <f t="shared" si="0"/>
        <v>83</v>
      </c>
      <c r="B84" s="172" t="s">
        <v>1309</v>
      </c>
      <c r="C84" s="81">
        <v>2025</v>
      </c>
      <c r="D84" s="173">
        <v>21</v>
      </c>
      <c r="E84" s="172" t="s">
        <v>138</v>
      </c>
      <c r="F84" s="172" t="s">
        <v>117</v>
      </c>
      <c r="G84" s="81" t="s">
        <v>227</v>
      </c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25" customHeight="1">
      <c r="A85" s="81">
        <f t="shared" si="0"/>
        <v>84</v>
      </c>
      <c r="B85" s="172" t="s">
        <v>1310</v>
      </c>
      <c r="C85" s="81">
        <v>2025</v>
      </c>
      <c r="D85" s="173">
        <v>23</v>
      </c>
      <c r="E85" s="172" t="s">
        <v>296</v>
      </c>
      <c r="F85" s="172" t="s">
        <v>150</v>
      </c>
      <c r="G85" s="81" t="s">
        <v>227</v>
      </c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25" customHeight="1">
      <c r="A86" s="81">
        <f t="shared" si="0"/>
        <v>85</v>
      </c>
      <c r="B86" s="172" t="s">
        <v>1311</v>
      </c>
      <c r="C86" s="81">
        <v>2025</v>
      </c>
      <c r="D86" s="173">
        <v>26</v>
      </c>
      <c r="E86" s="172" t="s">
        <v>1287</v>
      </c>
      <c r="F86" s="172" t="s">
        <v>117</v>
      </c>
      <c r="G86" s="81" t="s">
        <v>227</v>
      </c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25" customHeight="1">
      <c r="A87" s="81">
        <f t="shared" si="0"/>
        <v>86</v>
      </c>
      <c r="B87" s="172" t="s">
        <v>1312</v>
      </c>
      <c r="C87" s="81">
        <v>2025</v>
      </c>
      <c r="D87" s="173">
        <v>32</v>
      </c>
      <c r="E87" s="172" t="s">
        <v>138</v>
      </c>
      <c r="F87" s="172" t="s">
        <v>117</v>
      </c>
      <c r="G87" s="81" t="s">
        <v>227</v>
      </c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25" customHeight="1">
      <c r="A88" s="81">
        <f t="shared" si="0"/>
        <v>87</v>
      </c>
      <c r="B88" s="172" t="s">
        <v>1295</v>
      </c>
      <c r="C88" s="81">
        <v>2025</v>
      </c>
      <c r="D88" s="173">
        <v>33</v>
      </c>
      <c r="E88" s="172" t="s">
        <v>296</v>
      </c>
      <c r="F88" s="172" t="s">
        <v>117</v>
      </c>
      <c r="G88" s="81" t="s">
        <v>227</v>
      </c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25" customHeight="1">
      <c r="A89" s="81">
        <f t="shared" si="0"/>
        <v>88</v>
      </c>
      <c r="B89" s="172" t="s">
        <v>1313</v>
      </c>
      <c r="C89" s="81">
        <v>2025</v>
      </c>
      <c r="D89" s="173">
        <v>34</v>
      </c>
      <c r="E89" s="172" t="s">
        <v>429</v>
      </c>
      <c r="F89" s="172" t="s">
        <v>117</v>
      </c>
      <c r="G89" s="81" t="s">
        <v>227</v>
      </c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25" customHeight="1">
      <c r="A90" s="81">
        <f t="shared" si="0"/>
        <v>89</v>
      </c>
      <c r="B90" s="172" t="s">
        <v>1314</v>
      </c>
      <c r="C90" s="81">
        <v>2025</v>
      </c>
      <c r="D90" s="173">
        <v>35</v>
      </c>
      <c r="E90" s="172" t="s">
        <v>1231</v>
      </c>
      <c r="F90" s="172" t="s">
        <v>117</v>
      </c>
      <c r="G90" s="81" t="s">
        <v>202</v>
      </c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25" customHeight="1">
      <c r="A91" s="81">
        <f t="shared" si="0"/>
        <v>90</v>
      </c>
      <c r="B91" s="172" t="s">
        <v>1315</v>
      </c>
      <c r="C91" s="81">
        <v>2025</v>
      </c>
      <c r="D91" s="173">
        <v>37</v>
      </c>
      <c r="E91" s="172" t="s">
        <v>138</v>
      </c>
      <c r="F91" s="172" t="s">
        <v>117</v>
      </c>
      <c r="G91" s="81" t="s">
        <v>227</v>
      </c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25" customHeight="1">
      <c r="A92" s="81">
        <f t="shared" si="0"/>
        <v>91</v>
      </c>
      <c r="B92" s="172" t="s">
        <v>1316</v>
      </c>
      <c r="C92" s="81">
        <v>2025</v>
      </c>
      <c r="D92" s="173">
        <v>40</v>
      </c>
      <c r="E92" s="172" t="s">
        <v>296</v>
      </c>
      <c r="F92" s="172" t="s">
        <v>150</v>
      </c>
      <c r="G92" s="81" t="s">
        <v>227</v>
      </c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25" customHeight="1">
      <c r="A93" s="81">
        <f t="shared" si="0"/>
        <v>92</v>
      </c>
      <c r="B93" s="172" t="s">
        <v>1317</v>
      </c>
      <c r="C93" s="81">
        <v>2025</v>
      </c>
      <c r="D93" s="173">
        <v>43</v>
      </c>
      <c r="E93" s="172" t="s">
        <v>138</v>
      </c>
      <c r="F93" s="172" t="s">
        <v>117</v>
      </c>
      <c r="G93" s="81" t="s">
        <v>227</v>
      </c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25" customHeight="1">
      <c r="A94" s="81">
        <f t="shared" si="0"/>
        <v>93</v>
      </c>
      <c r="B94" s="172" t="s">
        <v>1318</v>
      </c>
      <c r="C94" s="81">
        <v>2025</v>
      </c>
      <c r="D94" s="173">
        <v>45</v>
      </c>
      <c r="E94" s="172" t="s">
        <v>296</v>
      </c>
      <c r="F94" s="172" t="s">
        <v>117</v>
      </c>
      <c r="G94" s="81" t="s">
        <v>227</v>
      </c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25" customHeight="1">
      <c r="A95" s="81">
        <f t="shared" si="0"/>
        <v>94</v>
      </c>
      <c r="B95" s="172" t="s">
        <v>1319</v>
      </c>
      <c r="C95" s="81">
        <v>2025</v>
      </c>
      <c r="D95" s="173">
        <v>46</v>
      </c>
      <c r="E95" s="172" t="s">
        <v>138</v>
      </c>
      <c r="F95" s="172" t="s">
        <v>182</v>
      </c>
      <c r="G95" s="81" t="s">
        <v>227</v>
      </c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25" customHeight="1">
      <c r="A96" s="81">
        <f t="shared" si="0"/>
        <v>95</v>
      </c>
      <c r="B96" s="172" t="s">
        <v>1320</v>
      </c>
      <c r="C96" s="81">
        <v>2025</v>
      </c>
      <c r="D96" s="173">
        <v>53</v>
      </c>
      <c r="E96" s="172" t="s">
        <v>138</v>
      </c>
      <c r="F96" s="172" t="s">
        <v>182</v>
      </c>
      <c r="G96" s="81" t="s">
        <v>227</v>
      </c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25" customHeight="1">
      <c r="A97" s="81">
        <f t="shared" si="0"/>
        <v>96</v>
      </c>
      <c r="B97" s="172" t="s">
        <v>1321</v>
      </c>
      <c r="C97" s="81">
        <v>2025</v>
      </c>
      <c r="D97" s="173">
        <v>54</v>
      </c>
      <c r="E97" s="172" t="s">
        <v>296</v>
      </c>
      <c r="F97" s="172" t="s">
        <v>117</v>
      </c>
      <c r="G97" s="81" t="s">
        <v>227</v>
      </c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25" customHeight="1">
      <c r="A98" s="81">
        <f t="shared" si="0"/>
        <v>97</v>
      </c>
      <c r="B98" s="172" t="s">
        <v>1322</v>
      </c>
      <c r="C98" s="81">
        <v>2025</v>
      </c>
      <c r="D98" s="173">
        <v>55</v>
      </c>
      <c r="E98" s="172" t="s">
        <v>138</v>
      </c>
      <c r="F98" s="172" t="s">
        <v>117</v>
      </c>
      <c r="G98" s="81" t="s">
        <v>227</v>
      </c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25" customHeight="1">
      <c r="A99" s="81">
        <f t="shared" si="0"/>
        <v>98</v>
      </c>
      <c r="B99" s="172" t="s">
        <v>1323</v>
      </c>
      <c r="C99" s="81">
        <v>2025</v>
      </c>
      <c r="D99" s="173">
        <v>56</v>
      </c>
      <c r="E99" s="172" t="s">
        <v>1224</v>
      </c>
      <c r="F99" s="172" t="s">
        <v>117</v>
      </c>
      <c r="G99" s="81" t="s">
        <v>227</v>
      </c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25" customHeight="1">
      <c r="A100" s="81">
        <f t="shared" si="0"/>
        <v>99</v>
      </c>
      <c r="B100" s="172" t="s">
        <v>1324</v>
      </c>
      <c r="C100" s="81">
        <v>2025</v>
      </c>
      <c r="D100" s="173">
        <v>59</v>
      </c>
      <c r="E100" s="172" t="s">
        <v>296</v>
      </c>
      <c r="F100" s="172" t="s">
        <v>117</v>
      </c>
      <c r="G100" s="81" t="s">
        <v>1221</v>
      </c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25" customHeight="1">
      <c r="A101" s="81">
        <f t="shared" si="0"/>
        <v>100</v>
      </c>
      <c r="B101" s="172" t="s">
        <v>1325</v>
      </c>
      <c r="C101" s="81">
        <v>2025</v>
      </c>
      <c r="D101" s="173">
        <v>60</v>
      </c>
      <c r="E101" s="172" t="s">
        <v>1224</v>
      </c>
      <c r="F101" s="172" t="s">
        <v>117</v>
      </c>
      <c r="G101" s="81" t="s">
        <v>227</v>
      </c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25" customHeight="1">
      <c r="A102" s="81">
        <f t="shared" si="0"/>
        <v>101</v>
      </c>
      <c r="B102" s="172" t="s">
        <v>1326</v>
      </c>
      <c r="C102" s="81">
        <v>2025</v>
      </c>
      <c r="D102" s="173">
        <v>61</v>
      </c>
      <c r="E102" s="172" t="s">
        <v>1224</v>
      </c>
      <c r="F102" s="172" t="s">
        <v>117</v>
      </c>
      <c r="G102" s="81" t="s">
        <v>227</v>
      </c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25" customHeight="1">
      <c r="A103" s="81">
        <f t="shared" si="0"/>
        <v>102</v>
      </c>
      <c r="B103" s="172" t="s">
        <v>1327</v>
      </c>
      <c r="C103" s="81">
        <v>2025</v>
      </c>
      <c r="D103" s="173">
        <v>62</v>
      </c>
      <c r="E103" s="172" t="s">
        <v>138</v>
      </c>
      <c r="F103" s="172" t="s">
        <v>182</v>
      </c>
      <c r="G103" s="81" t="s">
        <v>227</v>
      </c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25" customHeight="1">
      <c r="A104" s="81">
        <f t="shared" si="0"/>
        <v>103</v>
      </c>
      <c r="B104" s="172" t="s">
        <v>1329</v>
      </c>
      <c r="C104" s="81">
        <v>2025</v>
      </c>
      <c r="D104" s="173">
        <v>63</v>
      </c>
      <c r="E104" s="172" t="s">
        <v>429</v>
      </c>
      <c r="F104" s="172" t="s">
        <v>117</v>
      </c>
      <c r="G104" s="81" t="s">
        <v>227</v>
      </c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25" customHeight="1">
      <c r="A105" s="81">
        <f t="shared" si="0"/>
        <v>104</v>
      </c>
      <c r="B105" s="172" t="s">
        <v>1330</v>
      </c>
      <c r="C105" s="81">
        <v>2025</v>
      </c>
      <c r="D105" s="173">
        <v>64</v>
      </c>
      <c r="E105" s="172" t="s">
        <v>296</v>
      </c>
      <c r="F105" s="172" t="s">
        <v>182</v>
      </c>
      <c r="G105" s="81" t="s">
        <v>227</v>
      </c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25" customHeight="1">
      <c r="A106" s="81">
        <f t="shared" si="0"/>
        <v>105</v>
      </c>
      <c r="B106" s="172" t="s">
        <v>1331</v>
      </c>
      <c r="C106" s="81">
        <v>2025</v>
      </c>
      <c r="D106" s="173">
        <v>65</v>
      </c>
      <c r="E106" s="172" t="s">
        <v>138</v>
      </c>
      <c r="F106" s="172" t="s">
        <v>117</v>
      </c>
      <c r="G106" s="81" t="s">
        <v>227</v>
      </c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25" customHeight="1">
      <c r="A107" s="81">
        <f t="shared" si="0"/>
        <v>106</v>
      </c>
      <c r="B107" s="172" t="s">
        <v>1332</v>
      </c>
      <c r="C107" s="81">
        <v>2025</v>
      </c>
      <c r="D107" s="173">
        <v>66</v>
      </c>
      <c r="E107" s="172" t="s">
        <v>138</v>
      </c>
      <c r="F107" s="172" t="s">
        <v>117</v>
      </c>
      <c r="G107" s="81" t="s">
        <v>227</v>
      </c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25" customHeight="1">
      <c r="A108" s="81">
        <f t="shared" si="0"/>
        <v>107</v>
      </c>
      <c r="B108" s="172" t="s">
        <v>1333</v>
      </c>
      <c r="C108" s="81">
        <v>2025</v>
      </c>
      <c r="D108" s="173">
        <v>68</v>
      </c>
      <c r="E108" s="172" t="s">
        <v>116</v>
      </c>
      <c r="F108" s="172" t="s">
        <v>117</v>
      </c>
      <c r="G108" s="81" t="s">
        <v>227</v>
      </c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25" customHeight="1">
      <c r="A109" s="81">
        <f t="shared" si="0"/>
        <v>108</v>
      </c>
      <c r="B109" s="172" t="s">
        <v>1334</v>
      </c>
      <c r="C109" s="81">
        <v>2025</v>
      </c>
      <c r="D109" s="173">
        <v>69</v>
      </c>
      <c r="E109" s="172" t="s">
        <v>138</v>
      </c>
      <c r="F109" s="172" t="s">
        <v>117</v>
      </c>
      <c r="G109" s="81" t="s">
        <v>227</v>
      </c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25" customHeight="1">
      <c r="A110" s="81">
        <f t="shared" si="0"/>
        <v>109</v>
      </c>
      <c r="B110" s="172" t="s">
        <v>1335</v>
      </c>
      <c r="C110" s="81">
        <v>2025</v>
      </c>
      <c r="D110" s="173">
        <v>71</v>
      </c>
      <c r="E110" s="172" t="s">
        <v>138</v>
      </c>
      <c r="F110" s="172" t="s">
        <v>117</v>
      </c>
      <c r="G110" s="81" t="s">
        <v>227</v>
      </c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25" customHeight="1">
      <c r="A111" s="81">
        <f t="shared" si="0"/>
        <v>110</v>
      </c>
      <c r="B111" s="172" t="s">
        <v>1336</v>
      </c>
      <c r="C111" s="81">
        <v>2025</v>
      </c>
      <c r="D111" s="173">
        <v>74</v>
      </c>
      <c r="E111" s="172" t="s">
        <v>138</v>
      </c>
      <c r="F111" s="172" t="s">
        <v>117</v>
      </c>
      <c r="G111" s="81" t="s">
        <v>227</v>
      </c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25" customHeight="1">
      <c r="A112" s="81">
        <f t="shared" si="0"/>
        <v>111</v>
      </c>
      <c r="B112" s="172" t="s">
        <v>1337</v>
      </c>
      <c r="C112" s="81">
        <v>2025</v>
      </c>
      <c r="D112" s="173">
        <v>76</v>
      </c>
      <c r="E112" s="172" t="s">
        <v>296</v>
      </c>
      <c r="F112" s="172" t="s">
        <v>117</v>
      </c>
      <c r="G112" s="81" t="s">
        <v>227</v>
      </c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25" customHeight="1">
      <c r="A113" s="81">
        <f t="shared" si="0"/>
        <v>112</v>
      </c>
      <c r="B113" s="172" t="s">
        <v>1338</v>
      </c>
      <c r="C113" s="81">
        <v>2025</v>
      </c>
      <c r="D113" s="173">
        <v>87</v>
      </c>
      <c r="E113" s="172" t="s">
        <v>1231</v>
      </c>
      <c r="F113" s="172" t="s">
        <v>117</v>
      </c>
      <c r="G113" s="81" t="s">
        <v>227</v>
      </c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25" customHeight="1">
      <c r="A114" s="81">
        <f t="shared" si="0"/>
        <v>113</v>
      </c>
      <c r="B114" s="172" t="s">
        <v>1339</v>
      </c>
      <c r="C114" s="81">
        <v>2025</v>
      </c>
      <c r="D114" s="173">
        <v>88</v>
      </c>
      <c r="E114" s="172" t="s">
        <v>138</v>
      </c>
      <c r="F114" s="172" t="s">
        <v>117</v>
      </c>
      <c r="G114" s="81" t="s">
        <v>227</v>
      </c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25" customHeight="1">
      <c r="A115" s="81">
        <f t="shared" si="0"/>
        <v>114</v>
      </c>
      <c r="B115" s="172" t="s">
        <v>1340</v>
      </c>
      <c r="C115" s="81">
        <v>2025</v>
      </c>
      <c r="D115" s="173">
        <v>89</v>
      </c>
      <c r="E115" s="172" t="s">
        <v>138</v>
      </c>
      <c r="F115" s="172" t="s">
        <v>182</v>
      </c>
      <c r="G115" s="81" t="s">
        <v>227</v>
      </c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25" customHeight="1">
      <c r="A116" s="81">
        <f t="shared" si="0"/>
        <v>115</v>
      </c>
      <c r="B116" s="172" t="s">
        <v>1341</v>
      </c>
      <c r="C116" s="81">
        <v>2025</v>
      </c>
      <c r="D116" s="173">
        <v>90</v>
      </c>
      <c r="E116" s="172" t="s">
        <v>138</v>
      </c>
      <c r="F116" s="172" t="s">
        <v>117</v>
      </c>
      <c r="G116" s="81" t="s">
        <v>1134</v>
      </c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25" customHeight="1">
      <c r="A117" s="81">
        <f t="shared" si="0"/>
        <v>116</v>
      </c>
      <c r="B117" s="172" t="s">
        <v>1342</v>
      </c>
      <c r="C117" s="81">
        <v>2025</v>
      </c>
      <c r="D117" s="173">
        <v>93</v>
      </c>
      <c r="E117" s="172" t="s">
        <v>296</v>
      </c>
      <c r="F117" s="172" t="s">
        <v>150</v>
      </c>
      <c r="G117" s="81" t="s">
        <v>227</v>
      </c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25" customHeight="1">
      <c r="A118" s="81">
        <f t="shared" si="0"/>
        <v>117</v>
      </c>
      <c r="B118" s="172" t="s">
        <v>1343</v>
      </c>
      <c r="C118" s="81">
        <v>2025</v>
      </c>
      <c r="D118" s="173">
        <v>96</v>
      </c>
      <c r="E118" s="172" t="s">
        <v>138</v>
      </c>
      <c r="F118" s="172" t="s">
        <v>182</v>
      </c>
      <c r="G118" s="81" t="s">
        <v>227</v>
      </c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25" customHeight="1">
      <c r="A119" s="81">
        <f t="shared" si="0"/>
        <v>118</v>
      </c>
      <c r="B119" s="172" t="s">
        <v>1245</v>
      </c>
      <c r="C119" s="81">
        <v>2025</v>
      </c>
      <c r="D119" s="173">
        <v>97</v>
      </c>
      <c r="E119" s="172" t="s">
        <v>429</v>
      </c>
      <c r="F119" s="172" t="s">
        <v>117</v>
      </c>
      <c r="G119" s="81" t="s">
        <v>227</v>
      </c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25" customHeight="1">
      <c r="A120" s="81">
        <f t="shared" si="0"/>
        <v>119</v>
      </c>
      <c r="B120" s="172" t="s">
        <v>1344</v>
      </c>
      <c r="C120" s="81">
        <v>2025</v>
      </c>
      <c r="D120" s="173">
        <v>105</v>
      </c>
      <c r="E120" s="172" t="s">
        <v>116</v>
      </c>
      <c r="F120" s="172" t="s">
        <v>150</v>
      </c>
      <c r="G120" s="81" t="s">
        <v>227</v>
      </c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25" customHeight="1">
      <c r="A121" s="81">
        <f t="shared" si="0"/>
        <v>120</v>
      </c>
      <c r="B121" s="172" t="s">
        <v>1345</v>
      </c>
      <c r="C121" s="81">
        <v>2025</v>
      </c>
      <c r="D121" s="173">
        <v>106</v>
      </c>
      <c r="E121" s="172" t="s">
        <v>1224</v>
      </c>
      <c r="F121" s="172" t="s">
        <v>117</v>
      </c>
      <c r="G121" s="81" t="s">
        <v>227</v>
      </c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25" customHeight="1">
      <c r="A122" s="81">
        <f t="shared" si="0"/>
        <v>121</v>
      </c>
      <c r="B122" s="172" t="s">
        <v>1285</v>
      </c>
      <c r="C122" s="81">
        <v>2025</v>
      </c>
      <c r="D122" s="173">
        <v>108</v>
      </c>
      <c r="E122" s="172" t="s">
        <v>116</v>
      </c>
      <c r="F122" s="172" t="s">
        <v>117</v>
      </c>
      <c r="G122" s="81" t="s">
        <v>227</v>
      </c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25" customHeight="1">
      <c r="A123" s="81">
        <f t="shared" si="0"/>
        <v>122</v>
      </c>
      <c r="B123" s="172" t="s">
        <v>1346</v>
      </c>
      <c r="C123" s="81">
        <v>2025</v>
      </c>
      <c r="D123" s="173">
        <v>109</v>
      </c>
      <c r="E123" s="172" t="s">
        <v>1224</v>
      </c>
      <c r="F123" s="172" t="s">
        <v>117</v>
      </c>
      <c r="G123" s="81" t="s">
        <v>1134</v>
      </c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25" customHeight="1">
      <c r="A124" s="81">
        <f t="shared" si="0"/>
        <v>123</v>
      </c>
      <c r="B124" s="172" t="s">
        <v>1347</v>
      </c>
      <c r="C124" s="81">
        <v>2025</v>
      </c>
      <c r="D124" s="173">
        <v>110</v>
      </c>
      <c r="E124" s="172" t="s">
        <v>1224</v>
      </c>
      <c r="F124" s="172" t="s">
        <v>117</v>
      </c>
      <c r="G124" s="81" t="s">
        <v>1134</v>
      </c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25" customHeight="1">
      <c r="A125" s="81">
        <f t="shared" si="0"/>
        <v>124</v>
      </c>
      <c r="B125" s="172" t="s">
        <v>1348</v>
      </c>
      <c r="C125" s="81">
        <v>2025</v>
      </c>
      <c r="D125" s="173">
        <v>111</v>
      </c>
      <c r="E125" s="172" t="s">
        <v>138</v>
      </c>
      <c r="F125" s="172" t="s">
        <v>117</v>
      </c>
      <c r="G125" s="81" t="s">
        <v>1134</v>
      </c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25" customHeight="1">
      <c r="A126" s="81">
        <f t="shared" si="0"/>
        <v>125</v>
      </c>
      <c r="B126" s="172" t="s">
        <v>1349</v>
      </c>
      <c r="C126" s="81">
        <v>2025</v>
      </c>
      <c r="D126" s="173">
        <v>112</v>
      </c>
      <c r="E126" s="172" t="s">
        <v>1231</v>
      </c>
      <c r="F126" s="172" t="s">
        <v>117</v>
      </c>
      <c r="G126" s="81" t="s">
        <v>227</v>
      </c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25" customHeight="1">
      <c r="A127" s="81">
        <f t="shared" si="0"/>
        <v>126</v>
      </c>
      <c r="B127" s="172" t="s">
        <v>1350</v>
      </c>
      <c r="C127" s="81">
        <v>2025</v>
      </c>
      <c r="D127" s="173">
        <v>113</v>
      </c>
      <c r="E127" s="172" t="s">
        <v>138</v>
      </c>
      <c r="F127" s="172" t="s">
        <v>117</v>
      </c>
      <c r="G127" s="81" t="s">
        <v>227</v>
      </c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25" customHeight="1">
      <c r="A128" s="81">
        <f t="shared" si="0"/>
        <v>127</v>
      </c>
      <c r="B128" s="172" t="s">
        <v>1351</v>
      </c>
      <c r="C128" s="81">
        <v>2025</v>
      </c>
      <c r="D128" s="173">
        <v>114</v>
      </c>
      <c r="E128" s="172" t="s">
        <v>138</v>
      </c>
      <c r="F128" s="172" t="s">
        <v>117</v>
      </c>
      <c r="G128" s="81" t="s">
        <v>227</v>
      </c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25" customHeight="1">
      <c r="A129" s="81">
        <f t="shared" si="0"/>
        <v>128</v>
      </c>
      <c r="B129" s="172" t="s">
        <v>1352</v>
      </c>
      <c r="C129" s="81">
        <v>2025</v>
      </c>
      <c r="D129" s="173">
        <v>116</v>
      </c>
      <c r="E129" s="172" t="s">
        <v>138</v>
      </c>
      <c r="F129" s="172" t="s">
        <v>117</v>
      </c>
      <c r="G129" s="81" t="s">
        <v>227</v>
      </c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25" customHeight="1">
      <c r="A130" s="81">
        <f t="shared" si="0"/>
        <v>129</v>
      </c>
      <c r="B130" s="172" t="s">
        <v>1353</v>
      </c>
      <c r="C130" s="81">
        <v>2025</v>
      </c>
      <c r="D130" s="173">
        <v>117</v>
      </c>
      <c r="E130" s="172" t="s">
        <v>296</v>
      </c>
      <c r="F130" s="172" t="s">
        <v>117</v>
      </c>
      <c r="G130" s="81" t="s">
        <v>1134</v>
      </c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25" customHeight="1">
      <c r="A131" s="81">
        <f t="shared" si="0"/>
        <v>130</v>
      </c>
      <c r="B131" s="172" t="s">
        <v>1354</v>
      </c>
      <c r="C131" s="81">
        <v>2025</v>
      </c>
      <c r="D131" s="173">
        <v>118</v>
      </c>
      <c r="E131" s="172" t="s">
        <v>138</v>
      </c>
      <c r="F131" s="172" t="s">
        <v>117</v>
      </c>
      <c r="G131" s="81" t="s">
        <v>227</v>
      </c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25" customHeight="1">
      <c r="A132" s="81">
        <f t="shared" si="0"/>
        <v>131</v>
      </c>
      <c r="B132" s="172" t="s">
        <v>1355</v>
      </c>
      <c r="C132" s="81">
        <v>2025</v>
      </c>
      <c r="D132" s="173">
        <v>119</v>
      </c>
      <c r="E132" s="172" t="s">
        <v>138</v>
      </c>
      <c r="F132" s="172" t="s">
        <v>117</v>
      </c>
      <c r="G132" s="81" t="s">
        <v>202</v>
      </c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25" customHeight="1">
      <c r="A133" s="81">
        <f t="shared" si="0"/>
        <v>132</v>
      </c>
      <c r="B133" s="172" t="s">
        <v>1356</v>
      </c>
      <c r="C133" s="81">
        <v>2025</v>
      </c>
      <c r="D133" s="173">
        <v>120</v>
      </c>
      <c r="E133" s="172" t="s">
        <v>1272</v>
      </c>
      <c r="F133" s="172" t="s">
        <v>150</v>
      </c>
      <c r="G133" s="81" t="s">
        <v>227</v>
      </c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25" customHeight="1">
      <c r="A134" s="81">
        <f t="shared" si="0"/>
        <v>133</v>
      </c>
      <c r="B134" s="172" t="s">
        <v>1357</v>
      </c>
      <c r="C134" s="81">
        <v>2025</v>
      </c>
      <c r="D134" s="173">
        <v>121</v>
      </c>
      <c r="E134" s="172" t="s">
        <v>1270</v>
      </c>
      <c r="F134" s="172" t="s">
        <v>117</v>
      </c>
      <c r="G134" s="81" t="s">
        <v>227</v>
      </c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25" customHeight="1">
      <c r="A135" s="81">
        <f t="shared" si="0"/>
        <v>134</v>
      </c>
      <c r="B135" s="172" t="s">
        <v>1358</v>
      </c>
      <c r="C135" s="81">
        <v>2025</v>
      </c>
      <c r="D135" s="173">
        <v>123</v>
      </c>
      <c r="E135" s="172" t="s">
        <v>116</v>
      </c>
      <c r="F135" s="172" t="s">
        <v>117</v>
      </c>
      <c r="G135" s="81" t="s">
        <v>227</v>
      </c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25" customHeight="1">
      <c r="A136" s="81">
        <f t="shared" si="0"/>
        <v>135</v>
      </c>
      <c r="B136" s="172" t="s">
        <v>1359</v>
      </c>
      <c r="C136" s="81">
        <v>2025</v>
      </c>
      <c r="D136" s="173">
        <v>124</v>
      </c>
      <c r="E136" s="172" t="s">
        <v>138</v>
      </c>
      <c r="F136" s="172" t="s">
        <v>117</v>
      </c>
      <c r="G136" s="81" t="s">
        <v>227</v>
      </c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25" customHeight="1">
      <c r="A137" s="81">
        <f t="shared" si="0"/>
        <v>136</v>
      </c>
      <c r="B137" s="172" t="s">
        <v>1360</v>
      </c>
      <c r="C137" s="81">
        <v>2025</v>
      </c>
      <c r="D137" s="173">
        <v>126</v>
      </c>
      <c r="E137" s="172" t="s">
        <v>1231</v>
      </c>
      <c r="F137" s="172" t="s">
        <v>117</v>
      </c>
      <c r="G137" s="81" t="s">
        <v>227</v>
      </c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25" customHeight="1">
      <c r="A138" s="81">
        <f t="shared" si="0"/>
        <v>137</v>
      </c>
      <c r="B138" s="172" t="s">
        <v>1361</v>
      </c>
      <c r="C138" s="81">
        <v>2025</v>
      </c>
      <c r="D138" s="173">
        <v>142</v>
      </c>
      <c r="E138" s="172" t="s">
        <v>1240</v>
      </c>
      <c r="F138" s="172" t="s">
        <v>117</v>
      </c>
      <c r="G138" s="81" t="s">
        <v>227</v>
      </c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25" customHeight="1">
      <c r="A139" s="81">
        <f t="shared" si="0"/>
        <v>138</v>
      </c>
      <c r="B139" s="172" t="s">
        <v>1362</v>
      </c>
      <c r="C139" s="81">
        <v>2025</v>
      </c>
      <c r="D139" s="173">
        <v>145</v>
      </c>
      <c r="E139" s="172" t="s">
        <v>138</v>
      </c>
      <c r="F139" s="172" t="s">
        <v>150</v>
      </c>
      <c r="G139" s="81" t="s">
        <v>202</v>
      </c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25" customHeight="1">
      <c r="A140" s="81">
        <f t="shared" si="0"/>
        <v>139</v>
      </c>
      <c r="B140" s="172" t="s">
        <v>1363</v>
      </c>
      <c r="C140" s="81">
        <v>2025</v>
      </c>
      <c r="D140" s="173">
        <v>146</v>
      </c>
      <c r="E140" s="172" t="s">
        <v>1272</v>
      </c>
      <c r="F140" s="172" t="s">
        <v>117</v>
      </c>
      <c r="G140" s="81" t="s">
        <v>227</v>
      </c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25" customHeight="1">
      <c r="A141" s="81">
        <f t="shared" si="0"/>
        <v>140</v>
      </c>
      <c r="B141" s="172" t="s">
        <v>1364</v>
      </c>
      <c r="C141" s="81">
        <v>2025</v>
      </c>
      <c r="D141" s="173">
        <v>149</v>
      </c>
      <c r="E141" s="172" t="s">
        <v>1224</v>
      </c>
      <c r="F141" s="172" t="s">
        <v>117</v>
      </c>
      <c r="G141" s="81" t="s">
        <v>227</v>
      </c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25" customHeight="1">
      <c r="A142" s="81">
        <f t="shared" si="0"/>
        <v>141</v>
      </c>
      <c r="B142" s="172" t="s">
        <v>1365</v>
      </c>
      <c r="C142" s="81">
        <v>2025</v>
      </c>
      <c r="D142" s="173">
        <v>152</v>
      </c>
      <c r="E142" s="172" t="s">
        <v>138</v>
      </c>
      <c r="F142" s="172" t="s">
        <v>117</v>
      </c>
      <c r="G142" s="81" t="s">
        <v>1134</v>
      </c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25" customHeight="1">
      <c r="A143" s="81">
        <f t="shared" si="0"/>
        <v>142</v>
      </c>
      <c r="B143" s="172" t="s">
        <v>1366</v>
      </c>
      <c r="C143" s="81">
        <v>2025</v>
      </c>
      <c r="D143" s="173">
        <v>157</v>
      </c>
      <c r="E143" s="172" t="s">
        <v>138</v>
      </c>
      <c r="F143" s="172" t="s">
        <v>117</v>
      </c>
      <c r="G143" s="81" t="s">
        <v>227</v>
      </c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25" customHeight="1">
      <c r="A144" s="81">
        <f t="shared" si="0"/>
        <v>143</v>
      </c>
      <c r="B144" s="172" t="s">
        <v>1367</v>
      </c>
      <c r="C144" s="81">
        <v>2025</v>
      </c>
      <c r="D144" s="173">
        <v>158</v>
      </c>
      <c r="E144" s="172" t="s">
        <v>138</v>
      </c>
      <c r="F144" s="172" t="s">
        <v>117</v>
      </c>
      <c r="G144" s="81" t="s">
        <v>1134</v>
      </c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25" customHeight="1">
      <c r="A145" s="81">
        <f t="shared" si="0"/>
        <v>144</v>
      </c>
      <c r="B145" s="172" t="s">
        <v>1368</v>
      </c>
      <c r="C145" s="81">
        <v>2025</v>
      </c>
      <c r="D145" s="173">
        <v>162</v>
      </c>
      <c r="E145" s="172" t="s">
        <v>1369</v>
      </c>
      <c r="F145" s="172" t="s">
        <v>117</v>
      </c>
      <c r="G145" s="81" t="s">
        <v>227</v>
      </c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2.5" customHeight="1">
      <c r="A146" s="81">
        <f t="shared" si="0"/>
        <v>145</v>
      </c>
      <c r="B146" s="172" t="s">
        <v>1370</v>
      </c>
      <c r="C146" s="81">
        <v>2025</v>
      </c>
      <c r="D146" s="173">
        <v>167</v>
      </c>
      <c r="E146" s="172" t="s">
        <v>138</v>
      </c>
      <c r="F146" s="172" t="s">
        <v>117</v>
      </c>
      <c r="G146" s="81" t="s">
        <v>227</v>
      </c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2.5" customHeight="1">
      <c r="A147" s="81">
        <f t="shared" si="0"/>
        <v>146</v>
      </c>
      <c r="B147" s="172" t="s">
        <v>1371</v>
      </c>
      <c r="C147" s="81">
        <v>2025</v>
      </c>
      <c r="D147" s="173">
        <v>168</v>
      </c>
      <c r="E147" s="172" t="s">
        <v>1280</v>
      </c>
      <c r="F147" s="172" t="s">
        <v>182</v>
      </c>
      <c r="G147" s="81" t="s">
        <v>227</v>
      </c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2.5" customHeight="1">
      <c r="A148" s="81">
        <f t="shared" si="0"/>
        <v>147</v>
      </c>
      <c r="B148" s="172" t="s">
        <v>1372</v>
      </c>
      <c r="C148" s="81">
        <v>2025</v>
      </c>
      <c r="D148" s="173">
        <v>170</v>
      </c>
      <c r="E148" s="172" t="s">
        <v>296</v>
      </c>
      <c r="F148" s="172" t="s">
        <v>117</v>
      </c>
      <c r="G148" s="81" t="s">
        <v>1134</v>
      </c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2.5" customHeight="1">
      <c r="A149" s="81">
        <f t="shared" si="0"/>
        <v>148</v>
      </c>
      <c r="B149" s="172" t="s">
        <v>1373</v>
      </c>
      <c r="C149" s="81">
        <v>2025</v>
      </c>
      <c r="D149" s="173">
        <v>171</v>
      </c>
      <c r="E149" s="172" t="s">
        <v>116</v>
      </c>
      <c r="F149" s="177" t="s">
        <v>150</v>
      </c>
      <c r="G149" s="81" t="s">
        <v>1134</v>
      </c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2.5" customHeight="1">
      <c r="A150" s="81">
        <f t="shared" si="0"/>
        <v>149</v>
      </c>
      <c r="B150" s="172" t="s">
        <v>1374</v>
      </c>
      <c r="C150" s="81">
        <v>2025</v>
      </c>
      <c r="D150" s="173">
        <v>174</v>
      </c>
      <c r="E150" s="172" t="s">
        <v>296</v>
      </c>
      <c r="F150" s="172" t="s">
        <v>117</v>
      </c>
      <c r="G150" s="81" t="s">
        <v>1134</v>
      </c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2.5" customHeight="1">
      <c r="A151" s="81">
        <f t="shared" si="0"/>
        <v>150</v>
      </c>
      <c r="B151" s="172" t="s">
        <v>1375</v>
      </c>
      <c r="C151" s="81">
        <v>2025</v>
      </c>
      <c r="D151" s="173">
        <v>176</v>
      </c>
      <c r="E151" s="172" t="s">
        <v>296</v>
      </c>
      <c r="F151" s="172" t="s">
        <v>182</v>
      </c>
      <c r="G151" s="81" t="s">
        <v>1134</v>
      </c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2.5" customHeight="1">
      <c r="A152" s="81">
        <f t="shared" si="0"/>
        <v>151</v>
      </c>
      <c r="B152" s="172" t="s">
        <v>1376</v>
      </c>
      <c r="C152" s="81">
        <v>2025</v>
      </c>
      <c r="D152" s="173">
        <v>180</v>
      </c>
      <c r="E152" s="172" t="s">
        <v>1229</v>
      </c>
      <c r="F152" s="172" t="s">
        <v>117</v>
      </c>
      <c r="G152" s="81" t="s">
        <v>227</v>
      </c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2.5" customHeight="1">
      <c r="A153" s="81">
        <f t="shared" si="0"/>
        <v>152</v>
      </c>
      <c r="B153" s="172"/>
      <c r="C153" s="81"/>
      <c r="D153" s="173"/>
      <c r="E153" s="172"/>
      <c r="F153" s="172"/>
      <c r="G153" s="81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2.5" customHeight="1">
      <c r="A154" s="81">
        <f t="shared" si="0"/>
        <v>153</v>
      </c>
      <c r="B154" s="172"/>
      <c r="C154" s="81"/>
      <c r="D154" s="173"/>
      <c r="E154" s="172"/>
      <c r="F154" s="172"/>
      <c r="G154" s="81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2.5" customHeight="1">
      <c r="A155" s="81">
        <f t="shared" si="0"/>
        <v>154</v>
      </c>
      <c r="B155" s="172"/>
      <c r="C155" s="81"/>
      <c r="D155" s="173"/>
      <c r="E155" s="172"/>
      <c r="F155" s="172"/>
      <c r="G155" s="81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2.5" customHeight="1">
      <c r="A156" s="81">
        <f t="shared" si="0"/>
        <v>155</v>
      </c>
      <c r="B156" s="172"/>
      <c r="C156" s="81"/>
      <c r="D156" s="173"/>
      <c r="E156" s="172"/>
      <c r="F156" s="172"/>
      <c r="G156" s="81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2.5" customHeight="1">
      <c r="A157" s="81">
        <f t="shared" si="0"/>
        <v>156</v>
      </c>
      <c r="B157" s="172"/>
      <c r="C157" s="81"/>
      <c r="D157" s="173"/>
      <c r="E157" s="172"/>
      <c r="F157" s="172"/>
      <c r="G157" s="81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2.5" customHeight="1">
      <c r="A158" s="81">
        <f t="shared" si="0"/>
        <v>157</v>
      </c>
      <c r="B158" s="172"/>
      <c r="C158" s="81"/>
      <c r="D158" s="173"/>
      <c r="E158" s="172"/>
      <c r="F158" s="172"/>
      <c r="G158" s="81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8"/>
      <c r="F159" s="178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8"/>
      <c r="F160" s="178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7" customHeight="1">
      <c r="A161" s="17"/>
      <c r="B161" s="179" t="s">
        <v>1377</v>
      </c>
      <c r="C161" s="17"/>
      <c r="D161" s="17"/>
      <c r="E161" s="178"/>
      <c r="F161" s="178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7" customHeight="1">
      <c r="A162" s="17"/>
      <c r="B162" s="180" t="s">
        <v>1378</v>
      </c>
      <c r="C162" s="181" t="s">
        <v>1379</v>
      </c>
      <c r="D162" s="17"/>
      <c r="E162" s="178"/>
      <c r="F162" s="178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7" customHeight="1">
      <c r="A163" s="17"/>
      <c r="B163" s="182" t="s">
        <v>150</v>
      </c>
      <c r="C163" s="181" t="s">
        <v>1380</v>
      </c>
      <c r="D163" s="17"/>
      <c r="E163" s="178"/>
      <c r="F163" s="178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7" customHeight="1">
      <c r="A164" s="17"/>
      <c r="B164" s="183" t="s">
        <v>117</v>
      </c>
      <c r="C164" s="181" t="s">
        <v>1381</v>
      </c>
      <c r="D164" s="17"/>
      <c r="E164" s="178"/>
      <c r="F164" s="178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8"/>
      <c r="F165" s="178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84"/>
      <c r="F166" s="178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8"/>
      <c r="F167" s="178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8"/>
      <c r="F168" s="178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8"/>
      <c r="F169" s="178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8"/>
      <c r="F170" s="178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8"/>
      <c r="F171" s="178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8"/>
      <c r="F172" s="178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8"/>
      <c r="F173" s="178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8"/>
      <c r="F174" s="178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8"/>
      <c r="F175" s="178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8"/>
      <c r="F176" s="178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8"/>
      <c r="F177" s="178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8"/>
      <c r="F178" s="178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8"/>
      <c r="F179" s="178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8"/>
      <c r="F180" s="178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8"/>
      <c r="F181" s="178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8"/>
      <c r="F182" s="178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8"/>
      <c r="F183" s="178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8"/>
      <c r="F184" s="178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8"/>
      <c r="F185" s="178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8"/>
      <c r="F186" s="178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8"/>
      <c r="F187" s="178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8"/>
      <c r="F188" s="178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8"/>
      <c r="F189" s="178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8"/>
      <c r="F190" s="178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8"/>
      <c r="F191" s="178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8"/>
      <c r="F192" s="178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8"/>
      <c r="F193" s="178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8"/>
      <c r="F194" s="178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8"/>
      <c r="F195" s="178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8"/>
      <c r="F196" s="178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8"/>
      <c r="F197" s="178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8"/>
      <c r="F198" s="178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8"/>
      <c r="F199" s="178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8"/>
      <c r="F200" s="178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8"/>
      <c r="F201" s="178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8"/>
      <c r="F202" s="178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8"/>
      <c r="F203" s="178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8"/>
      <c r="F204" s="178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8"/>
      <c r="F205" s="178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8"/>
      <c r="F206" s="178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8"/>
      <c r="F207" s="178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8"/>
      <c r="F208" s="178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8"/>
      <c r="F209" s="178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8"/>
      <c r="F210" s="178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8"/>
      <c r="F211" s="178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8"/>
      <c r="F212" s="178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8"/>
      <c r="F213" s="178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8"/>
      <c r="F214" s="178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8"/>
      <c r="F215" s="178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8"/>
      <c r="F216" s="178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8"/>
      <c r="F217" s="178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8"/>
      <c r="F218" s="178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8"/>
      <c r="F219" s="178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8"/>
      <c r="F220" s="178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8"/>
      <c r="F221" s="178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8"/>
      <c r="F222" s="178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8"/>
      <c r="F223" s="178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8"/>
      <c r="F224" s="178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8"/>
      <c r="F225" s="178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8"/>
      <c r="F226" s="178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8"/>
      <c r="F227" s="178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8"/>
      <c r="F228" s="178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8"/>
      <c r="F229" s="178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8"/>
      <c r="F230" s="178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8"/>
      <c r="F231" s="178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8"/>
      <c r="F232" s="178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8"/>
      <c r="F233" s="178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8"/>
      <c r="F234" s="178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8"/>
      <c r="F235" s="178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8"/>
      <c r="F236" s="178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8"/>
      <c r="F237" s="178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8"/>
      <c r="F238" s="178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8"/>
      <c r="F239" s="178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8"/>
      <c r="F240" s="178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8"/>
      <c r="F241" s="178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8"/>
      <c r="F242" s="178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8"/>
      <c r="F243" s="178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8"/>
      <c r="F244" s="178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8"/>
      <c r="F245" s="178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8"/>
      <c r="F246" s="178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8"/>
      <c r="F247" s="178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8"/>
      <c r="F248" s="178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8"/>
      <c r="F249" s="178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8"/>
      <c r="F250" s="178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8"/>
      <c r="F251" s="178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8"/>
      <c r="F252" s="178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8"/>
      <c r="F253" s="178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8"/>
      <c r="F254" s="178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8"/>
      <c r="F255" s="178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8"/>
      <c r="F256" s="178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8"/>
      <c r="F257" s="178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8"/>
      <c r="F258" s="178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8"/>
      <c r="F259" s="178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8"/>
      <c r="F260" s="178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8"/>
      <c r="F261" s="178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8"/>
      <c r="F262" s="178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8"/>
      <c r="F263" s="178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8"/>
      <c r="F264" s="178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8"/>
      <c r="F265" s="178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8"/>
      <c r="F266" s="178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8"/>
      <c r="F267" s="178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8"/>
      <c r="F268" s="178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8"/>
      <c r="F269" s="178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8"/>
      <c r="F270" s="178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8"/>
      <c r="F271" s="178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8"/>
      <c r="F272" s="178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8"/>
      <c r="F273" s="178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8"/>
      <c r="F274" s="178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8"/>
      <c r="F275" s="178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8"/>
      <c r="F276" s="178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8"/>
      <c r="F277" s="178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8"/>
      <c r="F278" s="178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8"/>
      <c r="F279" s="178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8"/>
      <c r="F280" s="178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8"/>
      <c r="F281" s="178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8"/>
      <c r="F282" s="178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8"/>
      <c r="F283" s="178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8"/>
      <c r="F284" s="178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8"/>
      <c r="F285" s="178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8"/>
      <c r="F286" s="178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8"/>
      <c r="F287" s="178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8"/>
      <c r="F288" s="178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8"/>
      <c r="F289" s="178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8"/>
      <c r="F290" s="178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8"/>
      <c r="F291" s="178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8"/>
      <c r="F292" s="178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8"/>
      <c r="F293" s="178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8"/>
      <c r="F294" s="178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8"/>
      <c r="F295" s="178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8"/>
      <c r="F296" s="178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8"/>
      <c r="F297" s="178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8"/>
      <c r="F298" s="178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8"/>
      <c r="F299" s="178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8"/>
      <c r="F300" s="178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8"/>
      <c r="F301" s="178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8"/>
      <c r="F302" s="178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8"/>
      <c r="F303" s="178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8"/>
      <c r="F304" s="178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8"/>
      <c r="F305" s="178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8"/>
      <c r="F306" s="178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8"/>
      <c r="F307" s="178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8"/>
      <c r="F308" s="178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8"/>
      <c r="F309" s="178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8"/>
      <c r="F310" s="178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8"/>
      <c r="F311" s="178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8"/>
      <c r="F312" s="178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8"/>
      <c r="F313" s="178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8"/>
      <c r="F314" s="178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8"/>
      <c r="F315" s="178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8"/>
      <c r="F316" s="178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8"/>
      <c r="F317" s="178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8"/>
      <c r="F318" s="178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8"/>
      <c r="F319" s="178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8"/>
      <c r="F320" s="178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8"/>
      <c r="F321" s="178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8"/>
      <c r="F322" s="178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8"/>
      <c r="F323" s="178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8"/>
      <c r="F324" s="178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8"/>
      <c r="F325" s="178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8"/>
      <c r="F326" s="178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8"/>
      <c r="F327" s="178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8"/>
      <c r="F328" s="178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8"/>
      <c r="F329" s="178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8"/>
      <c r="F330" s="178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8"/>
      <c r="F331" s="178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8"/>
      <c r="F332" s="178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8"/>
      <c r="F333" s="178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8"/>
      <c r="F334" s="178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8"/>
      <c r="F335" s="178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8"/>
      <c r="F336" s="178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8"/>
      <c r="F337" s="178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8"/>
      <c r="F338" s="178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8"/>
      <c r="F339" s="178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8"/>
      <c r="F340" s="178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85"/>
      <c r="B341" s="185"/>
      <c r="C341" s="185"/>
      <c r="D341" s="185"/>
      <c r="E341" s="186"/>
      <c r="F341" s="186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</row>
    <row r="342" spans="1:26" ht="15.75" customHeight="1">
      <c r="A342" s="185"/>
      <c r="B342" s="185"/>
      <c r="C342" s="185"/>
      <c r="D342" s="185"/>
      <c r="E342" s="186"/>
      <c r="F342" s="186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</row>
    <row r="343" spans="1:26" ht="15.75" customHeight="1">
      <c r="A343" s="185"/>
      <c r="B343" s="185"/>
      <c r="C343" s="185"/>
      <c r="D343" s="185"/>
      <c r="E343" s="186"/>
      <c r="F343" s="186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</row>
    <row r="344" spans="1:26" ht="15.75" customHeight="1">
      <c r="A344" s="185"/>
      <c r="B344" s="185"/>
      <c r="C344" s="185"/>
      <c r="D344" s="185"/>
      <c r="E344" s="186"/>
      <c r="F344" s="186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</row>
    <row r="345" spans="1:26" ht="15.75" customHeight="1">
      <c r="A345" s="185"/>
      <c r="B345" s="185"/>
      <c r="C345" s="185"/>
      <c r="D345" s="185"/>
      <c r="E345" s="186"/>
      <c r="F345" s="186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</row>
    <row r="346" spans="1:26" ht="15.75" customHeight="1">
      <c r="A346" s="185"/>
      <c r="B346" s="185"/>
      <c r="C346" s="185"/>
      <c r="D346" s="185"/>
      <c r="E346" s="186"/>
      <c r="F346" s="186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</row>
    <row r="347" spans="1:26" ht="15.75" customHeight="1">
      <c r="A347" s="185"/>
      <c r="B347" s="185"/>
      <c r="C347" s="185"/>
      <c r="D347" s="185"/>
      <c r="E347" s="186"/>
      <c r="F347" s="186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</row>
    <row r="348" spans="1:26" ht="15.75" customHeight="1">
      <c r="A348" s="185"/>
      <c r="B348" s="185"/>
      <c r="C348" s="185"/>
      <c r="D348" s="185"/>
      <c r="E348" s="186"/>
      <c r="F348" s="186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</row>
    <row r="349" spans="1:26" ht="15.75" customHeight="1">
      <c r="A349" s="185"/>
      <c r="B349" s="185"/>
      <c r="C349" s="185"/>
      <c r="D349" s="185"/>
      <c r="E349" s="186"/>
      <c r="F349" s="186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</row>
    <row r="350" spans="1:26" ht="15.75" customHeight="1">
      <c r="A350" s="185"/>
      <c r="B350" s="185"/>
      <c r="C350" s="185"/>
      <c r="D350" s="185"/>
      <c r="E350" s="186"/>
      <c r="F350" s="186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</row>
    <row r="351" spans="1:26" ht="15.75" customHeight="1">
      <c r="A351" s="185"/>
      <c r="B351" s="185"/>
      <c r="C351" s="185"/>
      <c r="D351" s="185"/>
      <c r="E351" s="186"/>
      <c r="F351" s="186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</row>
    <row r="352" spans="1:26" ht="15.75" customHeight="1">
      <c r="A352" s="185"/>
      <c r="B352" s="185"/>
      <c r="C352" s="185"/>
      <c r="D352" s="185"/>
      <c r="E352" s="186"/>
      <c r="F352" s="186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</row>
    <row r="353" spans="1:26" ht="15.75" customHeight="1">
      <c r="A353" s="185"/>
      <c r="B353" s="185"/>
      <c r="C353" s="185"/>
      <c r="D353" s="185"/>
      <c r="E353" s="186"/>
      <c r="F353" s="186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</row>
    <row r="354" spans="1:26" ht="15.75" customHeight="1">
      <c r="A354" s="185"/>
      <c r="B354" s="185"/>
      <c r="C354" s="185"/>
      <c r="D354" s="185"/>
      <c r="E354" s="186"/>
      <c r="F354" s="186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</row>
    <row r="355" spans="1:26" ht="15.75" customHeight="1">
      <c r="A355" s="185"/>
      <c r="B355" s="185"/>
      <c r="C355" s="185"/>
      <c r="D355" s="185"/>
      <c r="E355" s="186"/>
      <c r="F355" s="186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</row>
    <row r="356" spans="1:26" ht="15.75" customHeight="1">
      <c r="A356" s="185"/>
      <c r="B356" s="185"/>
      <c r="C356" s="185"/>
      <c r="D356" s="185"/>
      <c r="E356" s="186"/>
      <c r="F356" s="186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</row>
    <row r="357" spans="1:26" ht="15.75" customHeight="1">
      <c r="A357" s="185"/>
      <c r="B357" s="185"/>
      <c r="C357" s="185"/>
      <c r="D357" s="185"/>
      <c r="E357" s="186"/>
      <c r="F357" s="186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</row>
    <row r="358" spans="1:26" ht="15.75" customHeight="1">
      <c r="A358" s="185"/>
      <c r="B358" s="185"/>
      <c r="C358" s="185"/>
      <c r="D358" s="185"/>
      <c r="E358" s="186"/>
      <c r="F358" s="186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</row>
    <row r="359" spans="1:26" ht="15.75" customHeight="1">
      <c r="A359" s="185"/>
      <c r="B359" s="185"/>
      <c r="C359" s="185"/>
      <c r="D359" s="185"/>
      <c r="E359" s="186"/>
      <c r="F359" s="186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</row>
    <row r="360" spans="1:26" ht="15.75" customHeight="1">
      <c r="A360" s="185"/>
      <c r="B360" s="185"/>
      <c r="C360" s="185"/>
      <c r="D360" s="185"/>
      <c r="E360" s="186"/>
      <c r="F360" s="186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</row>
    <row r="361" spans="1:26" ht="15.75" customHeight="1">
      <c r="A361" s="185"/>
      <c r="B361" s="185"/>
      <c r="C361" s="185"/>
      <c r="D361" s="185"/>
      <c r="E361" s="186"/>
      <c r="F361" s="186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</row>
    <row r="362" spans="1:26" ht="15.75" customHeight="1">
      <c r="A362" s="185"/>
      <c r="B362" s="185"/>
      <c r="C362" s="185"/>
      <c r="D362" s="185"/>
      <c r="E362" s="186"/>
      <c r="F362" s="186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</row>
    <row r="363" spans="1:26" ht="15.75" customHeight="1">
      <c r="A363" s="185"/>
      <c r="B363" s="185"/>
      <c r="C363" s="185"/>
      <c r="D363" s="185"/>
      <c r="E363" s="186"/>
      <c r="F363" s="186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</row>
    <row r="364" spans="1:26" ht="15.75" customHeight="1">
      <c r="A364" s="185"/>
      <c r="B364" s="185"/>
      <c r="C364" s="185"/>
      <c r="D364" s="185"/>
      <c r="E364" s="186"/>
      <c r="F364" s="186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</row>
    <row r="365" spans="1:26" ht="15.75" customHeight="1">
      <c r="A365" s="185"/>
      <c r="B365" s="185"/>
      <c r="C365" s="185"/>
      <c r="D365" s="185"/>
      <c r="E365" s="186"/>
      <c r="F365" s="186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</row>
    <row r="366" spans="1:26" ht="15.75" customHeight="1">
      <c r="A366" s="185"/>
      <c r="B366" s="185"/>
      <c r="C366" s="185"/>
      <c r="D366" s="185"/>
      <c r="E366" s="186"/>
      <c r="F366" s="186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</row>
    <row r="367" spans="1:26" ht="15.75" customHeight="1">
      <c r="A367" s="185"/>
      <c r="B367" s="185"/>
      <c r="C367" s="185"/>
      <c r="D367" s="185"/>
      <c r="E367" s="186"/>
      <c r="F367" s="186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</row>
    <row r="368" spans="1:26" ht="15.75" customHeight="1">
      <c r="A368" s="185"/>
      <c r="B368" s="185"/>
      <c r="C368" s="185"/>
      <c r="D368" s="185"/>
      <c r="E368" s="186"/>
      <c r="F368" s="186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</row>
    <row r="369" spans="1:26" ht="15.75" customHeight="1">
      <c r="A369" s="185"/>
      <c r="B369" s="185"/>
      <c r="C369" s="185"/>
      <c r="D369" s="185"/>
      <c r="E369" s="186"/>
      <c r="F369" s="186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</row>
    <row r="370" spans="1:26" ht="15.75" customHeight="1">
      <c r="A370" s="185"/>
      <c r="B370" s="185"/>
      <c r="C370" s="185"/>
      <c r="D370" s="185"/>
      <c r="E370" s="186"/>
      <c r="F370" s="186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</row>
    <row r="371" spans="1:26" ht="15.75" customHeight="1">
      <c r="A371" s="185"/>
      <c r="B371" s="185"/>
      <c r="C371" s="185"/>
      <c r="D371" s="185"/>
      <c r="E371" s="186"/>
      <c r="F371" s="186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</row>
    <row r="372" spans="1:26" ht="15.75" customHeight="1">
      <c r="A372" s="185"/>
      <c r="B372" s="185"/>
      <c r="C372" s="185"/>
      <c r="D372" s="185"/>
      <c r="E372" s="186"/>
      <c r="F372" s="186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</row>
    <row r="373" spans="1:26" ht="15.75" customHeight="1">
      <c r="A373" s="185"/>
      <c r="B373" s="185"/>
      <c r="C373" s="185"/>
      <c r="D373" s="185"/>
      <c r="E373" s="186"/>
      <c r="F373" s="186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</row>
    <row r="374" spans="1:26" ht="15.75" customHeight="1">
      <c r="A374" s="185"/>
      <c r="B374" s="185"/>
      <c r="C374" s="185"/>
      <c r="D374" s="185"/>
      <c r="E374" s="186"/>
      <c r="F374" s="186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</row>
    <row r="375" spans="1:26" ht="15.75" customHeight="1">
      <c r="A375" s="185"/>
      <c r="B375" s="185"/>
      <c r="C375" s="185"/>
      <c r="D375" s="185"/>
      <c r="E375" s="186"/>
      <c r="F375" s="186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</row>
    <row r="376" spans="1:26" ht="15.75" customHeight="1">
      <c r="A376" s="185"/>
      <c r="B376" s="185"/>
      <c r="C376" s="185"/>
      <c r="D376" s="185"/>
      <c r="E376" s="186"/>
      <c r="F376" s="186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</row>
    <row r="377" spans="1:26" ht="15.75" customHeight="1">
      <c r="A377" s="185"/>
      <c r="B377" s="185"/>
      <c r="C377" s="185"/>
      <c r="D377" s="185"/>
      <c r="E377" s="186"/>
      <c r="F377" s="186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</row>
    <row r="378" spans="1:26" ht="15.75" customHeight="1">
      <c r="A378" s="185"/>
      <c r="B378" s="185"/>
      <c r="C378" s="185"/>
      <c r="D378" s="185"/>
      <c r="E378" s="186"/>
      <c r="F378" s="186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</row>
    <row r="379" spans="1:26" ht="15.75" customHeight="1">
      <c r="A379" s="185"/>
      <c r="B379" s="185"/>
      <c r="C379" s="185"/>
      <c r="D379" s="185"/>
      <c r="E379" s="186"/>
      <c r="F379" s="186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</row>
    <row r="380" spans="1:26" ht="15.75" customHeight="1">
      <c r="A380" s="185"/>
      <c r="B380" s="185"/>
      <c r="C380" s="185"/>
      <c r="D380" s="185"/>
      <c r="E380" s="186"/>
      <c r="F380" s="186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</row>
    <row r="381" spans="1:26" ht="15.75" customHeight="1">
      <c r="A381" s="185"/>
      <c r="B381" s="185"/>
      <c r="C381" s="185"/>
      <c r="D381" s="185"/>
      <c r="E381" s="186"/>
      <c r="F381" s="186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</row>
    <row r="382" spans="1:26" ht="15.75" customHeight="1">
      <c r="A382" s="185"/>
      <c r="B382" s="185"/>
      <c r="C382" s="185"/>
      <c r="D382" s="185"/>
      <c r="E382" s="186"/>
      <c r="F382" s="186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</row>
    <row r="383" spans="1:26" ht="15.75" customHeight="1">
      <c r="A383" s="185"/>
      <c r="B383" s="185"/>
      <c r="C383" s="185"/>
      <c r="D383" s="185"/>
      <c r="E383" s="186"/>
      <c r="F383" s="186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</row>
    <row r="384" spans="1:26" ht="15.75" customHeight="1">
      <c r="A384" s="185"/>
      <c r="B384" s="185"/>
      <c r="C384" s="185"/>
      <c r="D384" s="185"/>
      <c r="E384" s="186"/>
      <c r="F384" s="186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</row>
    <row r="385" spans="1:26" ht="15.75" customHeight="1">
      <c r="A385" s="185"/>
      <c r="B385" s="185"/>
      <c r="C385" s="185"/>
      <c r="D385" s="185"/>
      <c r="E385" s="186"/>
      <c r="F385" s="186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</row>
    <row r="386" spans="1:26" ht="15.75" customHeight="1">
      <c r="A386" s="185"/>
      <c r="B386" s="185"/>
      <c r="C386" s="185"/>
      <c r="D386" s="185"/>
      <c r="E386" s="186"/>
      <c r="F386" s="186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</row>
    <row r="387" spans="1:26" ht="15.75" customHeight="1">
      <c r="A387" s="185"/>
      <c r="B387" s="185"/>
      <c r="C387" s="185"/>
      <c r="D387" s="185"/>
      <c r="E387" s="186"/>
      <c r="F387" s="186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</row>
    <row r="388" spans="1:26" ht="15.75" customHeight="1">
      <c r="A388" s="185"/>
      <c r="B388" s="185"/>
      <c r="C388" s="185"/>
      <c r="D388" s="185"/>
      <c r="E388" s="186"/>
      <c r="F388" s="186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</row>
    <row r="389" spans="1:26" ht="15.75" customHeight="1">
      <c r="A389" s="185"/>
      <c r="B389" s="185"/>
      <c r="C389" s="185"/>
      <c r="D389" s="185"/>
      <c r="E389" s="186"/>
      <c r="F389" s="186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</row>
    <row r="390" spans="1:26" ht="15.75" customHeight="1">
      <c r="A390" s="185"/>
      <c r="B390" s="185"/>
      <c r="C390" s="185"/>
      <c r="D390" s="185"/>
      <c r="E390" s="186"/>
      <c r="F390" s="186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</row>
    <row r="391" spans="1:26" ht="15.75" customHeight="1">
      <c r="A391" s="185"/>
      <c r="B391" s="185"/>
      <c r="C391" s="185"/>
      <c r="D391" s="185"/>
      <c r="E391" s="186"/>
      <c r="F391" s="186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</row>
    <row r="392" spans="1:26" ht="15.75" customHeight="1">
      <c r="A392" s="185"/>
      <c r="B392" s="185"/>
      <c r="C392" s="185"/>
      <c r="D392" s="185"/>
      <c r="E392" s="186"/>
      <c r="F392" s="186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</row>
    <row r="393" spans="1:26" ht="15.75" customHeight="1">
      <c r="A393" s="185"/>
      <c r="B393" s="185"/>
      <c r="C393" s="185"/>
      <c r="D393" s="185"/>
      <c r="E393" s="186"/>
      <c r="F393" s="186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</row>
    <row r="394" spans="1:26" ht="15.75" customHeight="1">
      <c r="A394" s="185"/>
      <c r="B394" s="185"/>
      <c r="C394" s="185"/>
      <c r="D394" s="185"/>
      <c r="E394" s="186"/>
      <c r="F394" s="186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</row>
    <row r="395" spans="1:26" ht="15.75" customHeight="1">
      <c r="A395" s="185"/>
      <c r="B395" s="185"/>
      <c r="C395" s="185"/>
      <c r="D395" s="185"/>
      <c r="E395" s="186"/>
      <c r="F395" s="186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</row>
    <row r="396" spans="1:26" ht="15.75" customHeight="1">
      <c r="A396" s="185"/>
      <c r="B396" s="185"/>
      <c r="C396" s="185"/>
      <c r="D396" s="185"/>
      <c r="E396" s="186"/>
      <c r="F396" s="186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</row>
    <row r="397" spans="1:26" ht="15.75" customHeight="1">
      <c r="A397" s="185"/>
      <c r="B397" s="185"/>
      <c r="C397" s="185"/>
      <c r="D397" s="185"/>
      <c r="E397" s="186"/>
      <c r="F397" s="186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</row>
    <row r="398" spans="1:26" ht="15.75" customHeight="1">
      <c r="A398" s="185"/>
      <c r="B398" s="185"/>
      <c r="C398" s="185"/>
      <c r="D398" s="185"/>
      <c r="E398" s="186"/>
      <c r="F398" s="186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</row>
    <row r="399" spans="1:26" ht="15.75" customHeight="1">
      <c r="A399" s="185"/>
      <c r="B399" s="185"/>
      <c r="C399" s="185"/>
      <c r="D399" s="185"/>
      <c r="E399" s="186"/>
      <c r="F399" s="186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</row>
    <row r="400" spans="1:26" ht="15.75" customHeight="1">
      <c r="A400" s="185"/>
      <c r="B400" s="185"/>
      <c r="C400" s="185"/>
      <c r="D400" s="185"/>
      <c r="E400" s="186"/>
      <c r="F400" s="186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</row>
    <row r="401" spans="1:26" ht="15.75" customHeight="1">
      <c r="A401" s="185"/>
      <c r="B401" s="185"/>
      <c r="C401" s="185"/>
      <c r="D401" s="185"/>
      <c r="E401" s="186"/>
      <c r="F401" s="186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</row>
    <row r="402" spans="1:26" ht="15.75" customHeight="1">
      <c r="A402" s="185"/>
      <c r="B402" s="185"/>
      <c r="C402" s="185"/>
      <c r="D402" s="185"/>
      <c r="E402" s="186"/>
      <c r="F402" s="186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</row>
    <row r="403" spans="1:26" ht="15.75" customHeight="1">
      <c r="A403" s="185"/>
      <c r="B403" s="185"/>
      <c r="C403" s="185"/>
      <c r="D403" s="185"/>
      <c r="E403" s="186"/>
      <c r="F403" s="186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</row>
    <row r="404" spans="1:26" ht="15.75" customHeight="1">
      <c r="A404" s="185"/>
      <c r="B404" s="185"/>
      <c r="C404" s="185"/>
      <c r="D404" s="185"/>
      <c r="E404" s="186"/>
      <c r="F404" s="186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</row>
    <row r="405" spans="1:26" ht="15.75" customHeight="1">
      <c r="A405" s="185"/>
      <c r="B405" s="185"/>
      <c r="C405" s="185"/>
      <c r="D405" s="185"/>
      <c r="E405" s="186"/>
      <c r="F405" s="186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</row>
    <row r="406" spans="1:26" ht="15.75" customHeight="1">
      <c r="A406" s="185"/>
      <c r="B406" s="185"/>
      <c r="C406" s="185"/>
      <c r="D406" s="185"/>
      <c r="E406" s="186"/>
      <c r="F406" s="186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</row>
    <row r="407" spans="1:26" ht="15.75" customHeight="1">
      <c r="A407" s="185"/>
      <c r="B407" s="185"/>
      <c r="C407" s="185"/>
      <c r="D407" s="185"/>
      <c r="E407" s="186"/>
      <c r="F407" s="186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</row>
    <row r="408" spans="1:26" ht="15.75" customHeight="1">
      <c r="A408" s="185"/>
      <c r="B408" s="185"/>
      <c r="C408" s="185"/>
      <c r="D408" s="185"/>
      <c r="E408" s="186"/>
      <c r="F408" s="186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</row>
    <row r="409" spans="1:26" ht="15.75" customHeight="1">
      <c r="A409" s="185"/>
      <c r="B409" s="185"/>
      <c r="C409" s="185"/>
      <c r="D409" s="185"/>
      <c r="E409" s="186"/>
      <c r="F409" s="186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</row>
    <row r="410" spans="1:26" ht="15.75" customHeight="1">
      <c r="A410" s="185"/>
      <c r="B410" s="185"/>
      <c r="C410" s="185"/>
      <c r="D410" s="185"/>
      <c r="E410" s="186"/>
      <c r="F410" s="186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</row>
    <row r="411" spans="1:26" ht="15.75" customHeight="1">
      <c r="A411" s="185"/>
      <c r="B411" s="185"/>
      <c r="C411" s="185"/>
      <c r="D411" s="185"/>
      <c r="E411" s="186"/>
      <c r="F411" s="186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</row>
    <row r="412" spans="1:26" ht="15.75" customHeight="1">
      <c r="A412" s="185"/>
      <c r="B412" s="185"/>
      <c r="C412" s="185"/>
      <c r="D412" s="185"/>
      <c r="E412" s="186"/>
      <c r="F412" s="186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</row>
    <row r="413" spans="1:26" ht="15.75" customHeight="1">
      <c r="A413" s="185"/>
      <c r="B413" s="185"/>
      <c r="C413" s="185"/>
      <c r="D413" s="185"/>
      <c r="E413" s="186"/>
      <c r="F413" s="186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</row>
    <row r="414" spans="1:26" ht="15.75" customHeight="1">
      <c r="A414" s="185"/>
      <c r="B414" s="185"/>
      <c r="C414" s="185"/>
      <c r="D414" s="185"/>
      <c r="E414" s="186"/>
      <c r="F414" s="186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</row>
    <row r="415" spans="1:26" ht="15.75" customHeight="1">
      <c r="A415" s="185"/>
      <c r="B415" s="185"/>
      <c r="C415" s="185"/>
      <c r="D415" s="185"/>
      <c r="E415" s="186"/>
      <c r="F415" s="186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</row>
    <row r="416" spans="1:26" ht="15.75" customHeight="1">
      <c r="A416" s="185"/>
      <c r="B416" s="185"/>
      <c r="C416" s="185"/>
      <c r="D416" s="185"/>
      <c r="E416" s="186"/>
      <c r="F416" s="186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</row>
    <row r="417" spans="1:26" ht="15.75" customHeight="1">
      <c r="A417" s="185"/>
      <c r="B417" s="185"/>
      <c r="C417" s="185"/>
      <c r="D417" s="185"/>
      <c r="E417" s="186"/>
      <c r="F417" s="186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</row>
    <row r="418" spans="1:26" ht="15.75" customHeight="1">
      <c r="A418" s="185"/>
      <c r="B418" s="185"/>
      <c r="C418" s="185"/>
      <c r="D418" s="185"/>
      <c r="E418" s="186"/>
      <c r="F418" s="186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</row>
    <row r="419" spans="1:26" ht="15.75" customHeight="1">
      <c r="A419" s="185"/>
      <c r="B419" s="185"/>
      <c r="C419" s="185"/>
      <c r="D419" s="185"/>
      <c r="E419" s="186"/>
      <c r="F419" s="186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</row>
    <row r="420" spans="1:26" ht="15.75" customHeight="1">
      <c r="A420" s="185"/>
      <c r="B420" s="185"/>
      <c r="C420" s="185"/>
      <c r="D420" s="185"/>
      <c r="E420" s="186"/>
      <c r="F420" s="186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</row>
    <row r="421" spans="1:26" ht="15.75" customHeight="1">
      <c r="A421" s="185"/>
      <c r="B421" s="185"/>
      <c r="C421" s="185"/>
      <c r="D421" s="185"/>
      <c r="E421" s="186"/>
      <c r="F421" s="186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</row>
    <row r="422" spans="1:26" ht="15.75" customHeight="1">
      <c r="A422" s="185"/>
      <c r="B422" s="185"/>
      <c r="C422" s="185"/>
      <c r="D422" s="185"/>
      <c r="E422" s="186"/>
      <c r="F422" s="186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</row>
    <row r="423" spans="1:26" ht="15.75" customHeight="1">
      <c r="A423" s="185"/>
      <c r="B423" s="185"/>
      <c r="C423" s="185"/>
      <c r="D423" s="185"/>
      <c r="E423" s="186"/>
      <c r="F423" s="186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</row>
    <row r="424" spans="1:26" ht="15.75" customHeight="1">
      <c r="A424" s="185"/>
      <c r="B424" s="185"/>
      <c r="C424" s="185"/>
      <c r="D424" s="185"/>
      <c r="E424" s="186"/>
      <c r="F424" s="186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</row>
    <row r="425" spans="1:26" ht="15.75" customHeight="1">
      <c r="A425" s="185"/>
      <c r="B425" s="185"/>
      <c r="C425" s="185"/>
      <c r="D425" s="185"/>
      <c r="E425" s="186"/>
      <c r="F425" s="186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</row>
    <row r="426" spans="1:26" ht="15.75" customHeight="1">
      <c r="A426" s="185"/>
      <c r="B426" s="185"/>
      <c r="C426" s="185"/>
      <c r="D426" s="185"/>
      <c r="E426" s="186"/>
      <c r="F426" s="186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</row>
    <row r="427" spans="1:26" ht="15.75" customHeight="1">
      <c r="A427" s="185"/>
      <c r="B427" s="185"/>
      <c r="C427" s="185"/>
      <c r="D427" s="185"/>
      <c r="E427" s="186"/>
      <c r="F427" s="186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</row>
    <row r="428" spans="1:26" ht="15.75" customHeight="1">
      <c r="A428" s="185"/>
      <c r="B428" s="185"/>
      <c r="C428" s="185"/>
      <c r="D428" s="185"/>
      <c r="E428" s="186"/>
      <c r="F428" s="186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</row>
    <row r="429" spans="1:26" ht="15.75" customHeight="1">
      <c r="A429" s="185"/>
      <c r="B429" s="185"/>
      <c r="C429" s="185"/>
      <c r="D429" s="185"/>
      <c r="E429" s="186"/>
      <c r="F429" s="186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</row>
    <row r="430" spans="1:26" ht="15.75" customHeight="1">
      <c r="A430" s="185"/>
      <c r="B430" s="185"/>
      <c r="C430" s="185"/>
      <c r="D430" s="185"/>
      <c r="E430" s="186"/>
      <c r="F430" s="186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</row>
    <row r="431" spans="1:26" ht="15.75" customHeight="1">
      <c r="A431" s="185"/>
      <c r="B431" s="185"/>
      <c r="C431" s="185"/>
      <c r="D431" s="185"/>
      <c r="E431" s="186"/>
      <c r="F431" s="186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</row>
    <row r="432" spans="1:26" ht="15.75" customHeight="1">
      <c r="A432" s="185"/>
      <c r="B432" s="185"/>
      <c r="C432" s="185"/>
      <c r="D432" s="185"/>
      <c r="E432" s="186"/>
      <c r="F432" s="186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</row>
    <row r="433" spans="1:26" ht="15.75" customHeight="1">
      <c r="A433" s="185"/>
      <c r="B433" s="185"/>
      <c r="C433" s="185"/>
      <c r="D433" s="185"/>
      <c r="E433" s="186"/>
      <c r="F433" s="186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</row>
    <row r="434" spans="1:26" ht="15.75" customHeight="1">
      <c r="A434" s="185"/>
      <c r="B434" s="185"/>
      <c r="C434" s="185"/>
      <c r="D434" s="185"/>
      <c r="E434" s="186"/>
      <c r="F434" s="186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</row>
    <row r="435" spans="1:26" ht="15.75" customHeight="1">
      <c r="A435" s="185"/>
      <c r="B435" s="185"/>
      <c r="C435" s="185"/>
      <c r="D435" s="185"/>
      <c r="E435" s="186"/>
      <c r="F435" s="186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</row>
    <row r="436" spans="1:26" ht="15.75" customHeight="1">
      <c r="A436" s="185"/>
      <c r="B436" s="185"/>
      <c r="C436" s="185"/>
      <c r="D436" s="185"/>
      <c r="E436" s="186"/>
      <c r="F436" s="186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</row>
    <row r="437" spans="1:26" ht="15.75" customHeight="1">
      <c r="A437" s="185"/>
      <c r="B437" s="185"/>
      <c r="C437" s="185"/>
      <c r="D437" s="185"/>
      <c r="E437" s="186"/>
      <c r="F437" s="186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</row>
    <row r="438" spans="1:26" ht="15.75" customHeight="1">
      <c r="A438" s="185"/>
      <c r="B438" s="185"/>
      <c r="C438" s="185"/>
      <c r="D438" s="185"/>
      <c r="E438" s="186"/>
      <c r="F438" s="186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</row>
    <row r="439" spans="1:26" ht="15.75" customHeight="1">
      <c r="A439" s="185"/>
      <c r="B439" s="185"/>
      <c r="C439" s="185"/>
      <c r="D439" s="185"/>
      <c r="E439" s="186"/>
      <c r="F439" s="186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</row>
    <row r="440" spans="1:26" ht="15.75" customHeight="1">
      <c r="A440" s="185"/>
      <c r="B440" s="185"/>
      <c r="C440" s="185"/>
      <c r="D440" s="185"/>
      <c r="E440" s="186"/>
      <c r="F440" s="186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</row>
    <row r="441" spans="1:26" ht="15.75" customHeight="1">
      <c r="A441" s="185"/>
      <c r="B441" s="185"/>
      <c r="C441" s="185"/>
      <c r="D441" s="185"/>
      <c r="E441" s="186"/>
      <c r="F441" s="186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</row>
    <row r="442" spans="1:26" ht="15.75" customHeight="1">
      <c r="A442" s="185"/>
      <c r="B442" s="185"/>
      <c r="C442" s="185"/>
      <c r="D442" s="185"/>
      <c r="E442" s="186"/>
      <c r="F442" s="186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</row>
    <row r="443" spans="1:26" ht="15.75" customHeight="1">
      <c r="A443" s="185"/>
      <c r="B443" s="185"/>
      <c r="C443" s="185"/>
      <c r="D443" s="185"/>
      <c r="E443" s="186"/>
      <c r="F443" s="186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</row>
    <row r="444" spans="1:26" ht="15.75" customHeight="1">
      <c r="A444" s="185"/>
      <c r="B444" s="185"/>
      <c r="C444" s="185"/>
      <c r="D444" s="185"/>
      <c r="E444" s="186"/>
      <c r="F444" s="186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</row>
    <row r="445" spans="1:26" ht="15.75" customHeight="1">
      <c r="A445" s="185"/>
      <c r="B445" s="185"/>
      <c r="C445" s="185"/>
      <c r="D445" s="185"/>
      <c r="E445" s="186"/>
      <c r="F445" s="186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</row>
    <row r="446" spans="1:26" ht="15.75" customHeight="1">
      <c r="A446" s="185"/>
      <c r="B446" s="185"/>
      <c r="C446" s="185"/>
      <c r="D446" s="185"/>
      <c r="E446" s="186"/>
      <c r="F446" s="186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</row>
    <row r="447" spans="1:26" ht="15.75" customHeight="1">
      <c r="A447" s="185"/>
      <c r="B447" s="185"/>
      <c r="C447" s="185"/>
      <c r="D447" s="185"/>
      <c r="E447" s="186"/>
      <c r="F447" s="186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</row>
    <row r="448" spans="1:26" ht="15.75" customHeight="1">
      <c r="A448" s="185"/>
      <c r="B448" s="185"/>
      <c r="C448" s="185"/>
      <c r="D448" s="185"/>
      <c r="E448" s="186"/>
      <c r="F448" s="186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</row>
    <row r="449" spans="1:26" ht="15.75" customHeight="1">
      <c r="A449" s="185"/>
      <c r="B449" s="185"/>
      <c r="C449" s="185"/>
      <c r="D449" s="185"/>
      <c r="E449" s="186"/>
      <c r="F449" s="186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</row>
    <row r="450" spans="1:26" ht="15.75" customHeight="1">
      <c r="A450" s="185"/>
      <c r="B450" s="185"/>
      <c r="C450" s="185"/>
      <c r="D450" s="185"/>
      <c r="E450" s="186"/>
      <c r="F450" s="186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</row>
    <row r="451" spans="1:26" ht="15.75" customHeight="1">
      <c r="A451" s="185"/>
      <c r="B451" s="185"/>
      <c r="C451" s="185"/>
      <c r="D451" s="185"/>
      <c r="E451" s="186"/>
      <c r="F451" s="186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</row>
    <row r="452" spans="1:26" ht="15.75" customHeight="1">
      <c r="A452" s="185"/>
      <c r="B452" s="185"/>
      <c r="C452" s="185"/>
      <c r="D452" s="185"/>
      <c r="E452" s="186"/>
      <c r="F452" s="186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</row>
    <row r="453" spans="1:26" ht="15.75" customHeight="1">
      <c r="A453" s="185"/>
      <c r="B453" s="185"/>
      <c r="C453" s="185"/>
      <c r="D453" s="185"/>
      <c r="E453" s="186"/>
      <c r="F453" s="186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</row>
    <row r="454" spans="1:26" ht="15.75" customHeight="1">
      <c r="A454" s="185"/>
      <c r="B454" s="185"/>
      <c r="C454" s="185"/>
      <c r="D454" s="185"/>
      <c r="E454" s="186"/>
      <c r="F454" s="186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</row>
    <row r="455" spans="1:26" ht="15.75" customHeight="1">
      <c r="A455" s="185"/>
      <c r="B455" s="185"/>
      <c r="C455" s="185"/>
      <c r="D455" s="185"/>
      <c r="E455" s="186"/>
      <c r="F455" s="186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</row>
    <row r="456" spans="1:26" ht="15.75" customHeight="1">
      <c r="A456" s="185"/>
      <c r="B456" s="185"/>
      <c r="C456" s="185"/>
      <c r="D456" s="185"/>
      <c r="E456" s="186"/>
      <c r="F456" s="186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</row>
    <row r="457" spans="1:26" ht="15.75" customHeight="1">
      <c r="A457" s="185"/>
      <c r="B457" s="185"/>
      <c r="C457" s="185"/>
      <c r="D457" s="185"/>
      <c r="E457" s="186"/>
      <c r="F457" s="186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</row>
    <row r="458" spans="1:26" ht="15.75" customHeight="1">
      <c r="A458" s="185"/>
      <c r="B458" s="185"/>
      <c r="C458" s="185"/>
      <c r="D458" s="185"/>
      <c r="E458" s="186"/>
      <c r="F458" s="186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</row>
    <row r="459" spans="1:26" ht="15.75" customHeight="1">
      <c r="A459" s="185"/>
      <c r="B459" s="185"/>
      <c r="C459" s="185"/>
      <c r="D459" s="185"/>
      <c r="E459" s="186"/>
      <c r="F459" s="186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</row>
    <row r="460" spans="1:26" ht="15.75" customHeight="1">
      <c r="A460" s="185"/>
      <c r="B460" s="185"/>
      <c r="C460" s="185"/>
      <c r="D460" s="185"/>
      <c r="E460" s="186"/>
      <c r="F460" s="186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</row>
    <row r="461" spans="1:26" ht="15.75" customHeight="1">
      <c r="A461" s="185"/>
      <c r="B461" s="185"/>
      <c r="C461" s="185"/>
      <c r="D461" s="185"/>
      <c r="E461" s="186"/>
      <c r="F461" s="186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</row>
    <row r="462" spans="1:26" ht="15.75" customHeight="1">
      <c r="A462" s="185"/>
      <c r="B462" s="185"/>
      <c r="C462" s="185"/>
      <c r="D462" s="185"/>
      <c r="E462" s="186"/>
      <c r="F462" s="186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</row>
    <row r="463" spans="1:26" ht="15.75" customHeight="1">
      <c r="A463" s="185"/>
      <c r="B463" s="185"/>
      <c r="C463" s="185"/>
      <c r="D463" s="185"/>
      <c r="E463" s="186"/>
      <c r="F463" s="186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</row>
    <row r="464" spans="1:26" ht="15.75" customHeight="1">
      <c r="A464" s="185"/>
      <c r="B464" s="185"/>
      <c r="C464" s="185"/>
      <c r="D464" s="185"/>
      <c r="E464" s="186"/>
      <c r="F464" s="186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</row>
    <row r="465" spans="1:26" ht="15.75" customHeight="1">
      <c r="A465" s="185"/>
      <c r="B465" s="185"/>
      <c r="C465" s="185"/>
      <c r="D465" s="185"/>
      <c r="E465" s="186"/>
      <c r="F465" s="186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</row>
    <row r="466" spans="1:26" ht="15.75" customHeight="1">
      <c r="A466" s="185"/>
      <c r="B466" s="185"/>
      <c r="C466" s="185"/>
      <c r="D466" s="185"/>
      <c r="E466" s="186"/>
      <c r="F466" s="186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</row>
    <row r="467" spans="1:26" ht="15.75" customHeight="1">
      <c r="A467" s="185"/>
      <c r="B467" s="185"/>
      <c r="C467" s="185"/>
      <c r="D467" s="185"/>
      <c r="E467" s="186"/>
      <c r="F467" s="186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</row>
    <row r="468" spans="1:26" ht="15.75" customHeight="1">
      <c r="A468" s="185"/>
      <c r="B468" s="185"/>
      <c r="C468" s="185"/>
      <c r="D468" s="185"/>
      <c r="E468" s="186"/>
      <c r="F468" s="186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</row>
    <row r="469" spans="1:26" ht="15.75" customHeight="1">
      <c r="A469" s="185"/>
      <c r="B469" s="185"/>
      <c r="C469" s="185"/>
      <c r="D469" s="185"/>
      <c r="E469" s="186"/>
      <c r="F469" s="186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</row>
    <row r="470" spans="1:26" ht="15.75" customHeight="1">
      <c r="A470" s="185"/>
      <c r="B470" s="185"/>
      <c r="C470" s="185"/>
      <c r="D470" s="185"/>
      <c r="E470" s="186"/>
      <c r="F470" s="186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</row>
    <row r="471" spans="1:26" ht="15.75" customHeight="1">
      <c r="A471" s="185"/>
      <c r="B471" s="185"/>
      <c r="C471" s="185"/>
      <c r="D471" s="185"/>
      <c r="E471" s="186"/>
      <c r="F471" s="186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</row>
    <row r="472" spans="1:26" ht="15.75" customHeight="1">
      <c r="A472" s="185"/>
      <c r="B472" s="185"/>
      <c r="C472" s="185"/>
      <c r="D472" s="185"/>
      <c r="E472" s="186"/>
      <c r="F472" s="186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</row>
    <row r="473" spans="1:26" ht="15.75" customHeight="1">
      <c r="A473" s="185"/>
      <c r="B473" s="185"/>
      <c r="C473" s="185"/>
      <c r="D473" s="185"/>
      <c r="E473" s="186"/>
      <c r="F473" s="186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</row>
    <row r="474" spans="1:26" ht="15.75" customHeight="1">
      <c r="A474" s="185"/>
      <c r="B474" s="185"/>
      <c r="C474" s="185"/>
      <c r="D474" s="185"/>
      <c r="E474" s="186"/>
      <c r="F474" s="186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</row>
    <row r="475" spans="1:26" ht="15.75" customHeight="1">
      <c r="A475" s="185"/>
      <c r="B475" s="185"/>
      <c r="C475" s="185"/>
      <c r="D475" s="185"/>
      <c r="E475" s="186"/>
      <c r="F475" s="186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</row>
    <row r="476" spans="1:26" ht="15.75" customHeight="1">
      <c r="A476" s="185"/>
      <c r="B476" s="185"/>
      <c r="C476" s="185"/>
      <c r="D476" s="185"/>
      <c r="E476" s="186"/>
      <c r="F476" s="186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</row>
    <row r="477" spans="1:26" ht="15.75" customHeight="1">
      <c r="A477" s="185"/>
      <c r="B477" s="185"/>
      <c r="C477" s="185"/>
      <c r="D477" s="185"/>
      <c r="E477" s="186"/>
      <c r="F477" s="186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</row>
    <row r="478" spans="1:26" ht="15.75" customHeight="1">
      <c r="A478" s="185"/>
      <c r="B478" s="185"/>
      <c r="C478" s="185"/>
      <c r="D478" s="185"/>
      <c r="E478" s="186"/>
      <c r="F478" s="186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</row>
    <row r="479" spans="1:26" ht="15.75" customHeight="1">
      <c r="A479" s="185"/>
      <c r="B479" s="185"/>
      <c r="C479" s="185"/>
      <c r="D479" s="185"/>
      <c r="E479" s="186"/>
      <c r="F479" s="186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</row>
    <row r="480" spans="1:26" ht="15.75" customHeight="1">
      <c r="A480" s="185"/>
      <c r="B480" s="185"/>
      <c r="C480" s="185"/>
      <c r="D480" s="185"/>
      <c r="E480" s="186"/>
      <c r="F480" s="186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</row>
    <row r="481" spans="1:26" ht="15.75" customHeight="1">
      <c r="A481" s="185"/>
      <c r="B481" s="185"/>
      <c r="C481" s="185"/>
      <c r="D481" s="185"/>
      <c r="E481" s="186"/>
      <c r="F481" s="186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</row>
    <row r="482" spans="1:26" ht="15.75" customHeight="1">
      <c r="A482" s="185"/>
      <c r="B482" s="185"/>
      <c r="C482" s="185"/>
      <c r="D482" s="185"/>
      <c r="E482" s="186"/>
      <c r="F482" s="186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</row>
    <row r="483" spans="1:26" ht="15.75" customHeight="1">
      <c r="A483" s="185"/>
      <c r="B483" s="185"/>
      <c r="C483" s="185"/>
      <c r="D483" s="185"/>
      <c r="E483" s="186"/>
      <c r="F483" s="186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</row>
    <row r="484" spans="1:26" ht="15.75" customHeight="1">
      <c r="A484" s="185"/>
      <c r="B484" s="185"/>
      <c r="C484" s="185"/>
      <c r="D484" s="185"/>
      <c r="E484" s="186"/>
      <c r="F484" s="186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</row>
    <row r="485" spans="1:26" ht="15.75" customHeight="1">
      <c r="A485" s="185"/>
      <c r="B485" s="185"/>
      <c r="C485" s="185"/>
      <c r="D485" s="185"/>
      <c r="E485" s="186"/>
      <c r="F485" s="186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</row>
    <row r="486" spans="1:26" ht="15.75" customHeight="1">
      <c r="A486" s="185"/>
      <c r="B486" s="185"/>
      <c r="C486" s="185"/>
      <c r="D486" s="185"/>
      <c r="E486" s="186"/>
      <c r="F486" s="186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</row>
    <row r="487" spans="1:26" ht="15.75" customHeight="1">
      <c r="A487" s="185"/>
      <c r="B487" s="185"/>
      <c r="C487" s="185"/>
      <c r="D487" s="185"/>
      <c r="E487" s="186"/>
      <c r="F487" s="186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</row>
    <row r="488" spans="1:26" ht="15.75" customHeight="1">
      <c r="A488" s="185"/>
      <c r="B488" s="185"/>
      <c r="C488" s="185"/>
      <c r="D488" s="185"/>
      <c r="E488" s="186"/>
      <c r="F488" s="186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</row>
    <row r="489" spans="1:26" ht="15.75" customHeight="1">
      <c r="A489" s="185"/>
      <c r="B489" s="185"/>
      <c r="C489" s="185"/>
      <c r="D489" s="185"/>
      <c r="E489" s="186"/>
      <c r="F489" s="186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</row>
    <row r="490" spans="1:26" ht="15.75" customHeight="1">
      <c r="A490" s="185"/>
      <c r="B490" s="185"/>
      <c r="C490" s="185"/>
      <c r="D490" s="185"/>
      <c r="E490" s="186"/>
      <c r="F490" s="186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</row>
    <row r="491" spans="1:26" ht="15.75" customHeight="1">
      <c r="A491" s="185"/>
      <c r="B491" s="185"/>
      <c r="C491" s="185"/>
      <c r="D491" s="185"/>
      <c r="E491" s="186"/>
      <c r="F491" s="186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</row>
    <row r="492" spans="1:26" ht="15.75" customHeight="1">
      <c r="A492" s="185"/>
      <c r="B492" s="185"/>
      <c r="C492" s="185"/>
      <c r="D492" s="185"/>
      <c r="E492" s="186"/>
      <c r="F492" s="186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</row>
    <row r="493" spans="1:26" ht="15.75" customHeight="1">
      <c r="A493" s="185"/>
      <c r="B493" s="185"/>
      <c r="C493" s="185"/>
      <c r="D493" s="185"/>
      <c r="E493" s="186"/>
      <c r="F493" s="186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</row>
    <row r="494" spans="1:26" ht="15.75" customHeight="1">
      <c r="A494" s="185"/>
      <c r="B494" s="185"/>
      <c r="C494" s="185"/>
      <c r="D494" s="185"/>
      <c r="E494" s="186"/>
      <c r="F494" s="186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</row>
    <row r="495" spans="1:26" ht="15.75" customHeight="1">
      <c r="A495" s="185"/>
      <c r="B495" s="185"/>
      <c r="C495" s="185"/>
      <c r="D495" s="185"/>
      <c r="E495" s="186"/>
      <c r="F495" s="186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</row>
    <row r="496" spans="1:26" ht="15.75" customHeight="1">
      <c r="A496" s="185"/>
      <c r="B496" s="185"/>
      <c r="C496" s="185"/>
      <c r="D496" s="185"/>
      <c r="E496" s="186"/>
      <c r="F496" s="186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</row>
    <row r="497" spans="1:26" ht="15.75" customHeight="1">
      <c r="A497" s="185"/>
      <c r="B497" s="185"/>
      <c r="C497" s="185"/>
      <c r="D497" s="185"/>
      <c r="E497" s="186"/>
      <c r="F497" s="186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</row>
    <row r="498" spans="1:26" ht="15.75" customHeight="1">
      <c r="A498" s="185"/>
      <c r="B498" s="185"/>
      <c r="C498" s="185"/>
      <c r="D498" s="185"/>
      <c r="E498" s="186"/>
      <c r="F498" s="186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</row>
    <row r="499" spans="1:26" ht="15.75" customHeight="1">
      <c r="A499" s="185"/>
      <c r="B499" s="185"/>
      <c r="C499" s="185"/>
      <c r="D499" s="185"/>
      <c r="E499" s="186"/>
      <c r="F499" s="186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</row>
    <row r="500" spans="1:26" ht="15.75" customHeight="1">
      <c r="A500" s="185"/>
      <c r="B500" s="185"/>
      <c r="C500" s="185"/>
      <c r="D500" s="185"/>
      <c r="E500" s="186"/>
      <c r="F500" s="186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</row>
    <row r="501" spans="1:26" ht="15.75" customHeight="1">
      <c r="A501" s="185"/>
      <c r="B501" s="185"/>
      <c r="C501" s="185"/>
      <c r="D501" s="185"/>
      <c r="E501" s="186"/>
      <c r="F501" s="186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</row>
    <row r="502" spans="1:26" ht="15.75" customHeight="1">
      <c r="A502" s="185"/>
      <c r="B502" s="185"/>
      <c r="C502" s="185"/>
      <c r="D502" s="185"/>
      <c r="E502" s="186"/>
      <c r="F502" s="186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</row>
    <row r="503" spans="1:26" ht="15.75" customHeight="1">
      <c r="A503" s="185"/>
      <c r="B503" s="185"/>
      <c r="C503" s="185"/>
      <c r="D503" s="185"/>
      <c r="E503" s="186"/>
      <c r="F503" s="186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</row>
    <row r="504" spans="1:26" ht="15.75" customHeight="1">
      <c r="A504" s="185"/>
      <c r="B504" s="185"/>
      <c r="C504" s="185"/>
      <c r="D504" s="185"/>
      <c r="E504" s="186"/>
      <c r="F504" s="186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</row>
    <row r="505" spans="1:26" ht="15.75" customHeight="1">
      <c r="A505" s="185"/>
      <c r="B505" s="185"/>
      <c r="C505" s="185"/>
      <c r="D505" s="185"/>
      <c r="E505" s="186"/>
      <c r="F505" s="186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</row>
    <row r="506" spans="1:26" ht="15.75" customHeight="1">
      <c r="A506" s="185"/>
      <c r="B506" s="185"/>
      <c r="C506" s="185"/>
      <c r="D506" s="185"/>
      <c r="E506" s="186"/>
      <c r="F506" s="186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</row>
    <row r="507" spans="1:26" ht="15.75" customHeight="1">
      <c r="A507" s="185"/>
      <c r="B507" s="185"/>
      <c r="C507" s="185"/>
      <c r="D507" s="185"/>
      <c r="E507" s="186"/>
      <c r="F507" s="186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</row>
    <row r="508" spans="1:26" ht="15.75" customHeight="1">
      <c r="A508" s="185"/>
      <c r="B508" s="185"/>
      <c r="C508" s="185"/>
      <c r="D508" s="185"/>
      <c r="E508" s="186"/>
      <c r="F508" s="186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</row>
    <row r="509" spans="1:26" ht="15.75" customHeight="1">
      <c r="A509" s="185"/>
      <c r="B509" s="185"/>
      <c r="C509" s="185"/>
      <c r="D509" s="185"/>
      <c r="E509" s="186"/>
      <c r="F509" s="186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</row>
    <row r="510" spans="1:26" ht="15.75" customHeight="1">
      <c r="A510" s="185"/>
      <c r="B510" s="185"/>
      <c r="C510" s="185"/>
      <c r="D510" s="185"/>
      <c r="E510" s="186"/>
      <c r="F510" s="186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</row>
    <row r="511" spans="1:26" ht="15.75" customHeight="1">
      <c r="A511" s="185"/>
      <c r="B511" s="185"/>
      <c r="C511" s="185"/>
      <c r="D511" s="185"/>
      <c r="E511" s="186"/>
      <c r="F511" s="186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</row>
    <row r="512" spans="1:26" ht="15.75" customHeight="1">
      <c r="A512" s="185"/>
      <c r="B512" s="185"/>
      <c r="C512" s="185"/>
      <c r="D512" s="185"/>
      <c r="E512" s="186"/>
      <c r="F512" s="186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</row>
    <row r="513" spans="1:26" ht="15.75" customHeight="1">
      <c r="A513" s="185"/>
      <c r="B513" s="185"/>
      <c r="C513" s="185"/>
      <c r="D513" s="185"/>
      <c r="E513" s="186"/>
      <c r="F513" s="186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</row>
    <row r="514" spans="1:26" ht="15.75" customHeight="1">
      <c r="A514" s="185"/>
      <c r="B514" s="185"/>
      <c r="C514" s="185"/>
      <c r="D514" s="185"/>
      <c r="E514" s="186"/>
      <c r="F514" s="186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</row>
    <row r="515" spans="1:26" ht="15.75" customHeight="1">
      <c r="A515" s="185"/>
      <c r="B515" s="185"/>
      <c r="C515" s="185"/>
      <c r="D515" s="185"/>
      <c r="E515" s="186"/>
      <c r="F515" s="186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</row>
    <row r="516" spans="1:26" ht="15.75" customHeight="1">
      <c r="A516" s="185"/>
      <c r="B516" s="185"/>
      <c r="C516" s="185"/>
      <c r="D516" s="185"/>
      <c r="E516" s="186"/>
      <c r="F516" s="186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</row>
    <row r="517" spans="1:26" ht="15.75" customHeight="1">
      <c r="A517" s="185"/>
      <c r="B517" s="185"/>
      <c r="C517" s="185"/>
      <c r="D517" s="185"/>
      <c r="E517" s="186"/>
      <c r="F517" s="186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</row>
    <row r="518" spans="1:26" ht="15.75" customHeight="1">
      <c r="A518" s="185"/>
      <c r="B518" s="185"/>
      <c r="C518" s="185"/>
      <c r="D518" s="185"/>
      <c r="E518" s="186"/>
      <c r="F518" s="186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</row>
    <row r="519" spans="1:26" ht="15.75" customHeight="1">
      <c r="A519" s="185"/>
      <c r="B519" s="185"/>
      <c r="C519" s="185"/>
      <c r="D519" s="185"/>
      <c r="E519" s="186"/>
      <c r="F519" s="186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</row>
    <row r="520" spans="1:26" ht="15.75" customHeight="1">
      <c r="A520" s="185"/>
      <c r="B520" s="185"/>
      <c r="C520" s="185"/>
      <c r="D520" s="185"/>
      <c r="E520" s="186"/>
      <c r="F520" s="186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</row>
    <row r="521" spans="1:26" ht="15.75" customHeight="1">
      <c r="A521" s="185"/>
      <c r="B521" s="185"/>
      <c r="C521" s="185"/>
      <c r="D521" s="185"/>
      <c r="E521" s="186"/>
      <c r="F521" s="186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</row>
    <row r="522" spans="1:26" ht="15.75" customHeight="1">
      <c r="A522" s="185"/>
      <c r="B522" s="185"/>
      <c r="C522" s="185"/>
      <c r="D522" s="185"/>
      <c r="E522" s="186"/>
      <c r="F522" s="186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</row>
    <row r="523" spans="1:26" ht="15.75" customHeight="1">
      <c r="A523" s="185"/>
      <c r="B523" s="185"/>
      <c r="C523" s="185"/>
      <c r="D523" s="185"/>
      <c r="E523" s="186"/>
      <c r="F523" s="186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</row>
    <row r="524" spans="1:26" ht="15.75" customHeight="1">
      <c r="A524" s="185"/>
      <c r="B524" s="185"/>
      <c r="C524" s="185"/>
      <c r="D524" s="185"/>
      <c r="E524" s="186"/>
      <c r="F524" s="186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</row>
    <row r="525" spans="1:26" ht="15.75" customHeight="1">
      <c r="A525" s="185"/>
      <c r="B525" s="185"/>
      <c r="C525" s="185"/>
      <c r="D525" s="185"/>
      <c r="E525" s="186"/>
      <c r="F525" s="186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</row>
    <row r="526" spans="1:26" ht="15.75" customHeight="1">
      <c r="A526" s="185"/>
      <c r="B526" s="185"/>
      <c r="C526" s="185"/>
      <c r="D526" s="185"/>
      <c r="E526" s="186"/>
      <c r="F526" s="186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</row>
    <row r="527" spans="1:26" ht="15.75" customHeight="1">
      <c r="A527" s="185"/>
      <c r="B527" s="185"/>
      <c r="C527" s="185"/>
      <c r="D527" s="185"/>
      <c r="E527" s="186"/>
      <c r="F527" s="186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</row>
    <row r="528" spans="1:26" ht="15.75" customHeight="1">
      <c r="A528" s="185"/>
      <c r="B528" s="185"/>
      <c r="C528" s="185"/>
      <c r="D528" s="185"/>
      <c r="E528" s="186"/>
      <c r="F528" s="186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</row>
    <row r="529" spans="1:26" ht="15.75" customHeight="1">
      <c r="A529" s="185"/>
      <c r="B529" s="185"/>
      <c r="C529" s="185"/>
      <c r="D529" s="185"/>
      <c r="E529" s="186"/>
      <c r="F529" s="186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</row>
    <row r="530" spans="1:26" ht="15.75" customHeight="1">
      <c r="A530" s="185"/>
      <c r="B530" s="185"/>
      <c r="C530" s="185"/>
      <c r="D530" s="185"/>
      <c r="E530" s="186"/>
      <c r="F530" s="186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</row>
    <row r="531" spans="1:26" ht="15.75" customHeight="1">
      <c r="A531" s="185"/>
      <c r="B531" s="185"/>
      <c r="C531" s="185"/>
      <c r="D531" s="185"/>
      <c r="E531" s="186"/>
      <c r="F531" s="186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</row>
    <row r="532" spans="1:26" ht="15.75" customHeight="1">
      <c r="A532" s="185"/>
      <c r="B532" s="185"/>
      <c r="C532" s="185"/>
      <c r="D532" s="185"/>
      <c r="E532" s="186"/>
      <c r="F532" s="186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</row>
    <row r="533" spans="1:26" ht="15.75" customHeight="1">
      <c r="A533" s="185"/>
      <c r="B533" s="185"/>
      <c r="C533" s="185"/>
      <c r="D533" s="185"/>
      <c r="E533" s="186"/>
      <c r="F533" s="186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</row>
    <row r="534" spans="1:26" ht="15.75" customHeight="1">
      <c r="A534" s="185"/>
      <c r="B534" s="185"/>
      <c r="C534" s="185"/>
      <c r="D534" s="185"/>
      <c r="E534" s="186"/>
      <c r="F534" s="186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</row>
    <row r="535" spans="1:26" ht="15.75" customHeight="1">
      <c r="A535" s="185"/>
      <c r="B535" s="185"/>
      <c r="C535" s="185"/>
      <c r="D535" s="185"/>
      <c r="E535" s="186"/>
      <c r="F535" s="186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</row>
    <row r="536" spans="1:26" ht="15.75" customHeight="1">
      <c r="A536" s="185"/>
      <c r="B536" s="185"/>
      <c r="C536" s="185"/>
      <c r="D536" s="185"/>
      <c r="E536" s="186"/>
      <c r="F536" s="186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</row>
    <row r="537" spans="1:26" ht="15.75" customHeight="1">
      <c r="A537" s="185"/>
      <c r="B537" s="185"/>
      <c r="C537" s="185"/>
      <c r="D537" s="185"/>
      <c r="E537" s="186"/>
      <c r="F537" s="186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</row>
    <row r="538" spans="1:26" ht="15.75" customHeight="1">
      <c r="A538" s="185"/>
      <c r="B538" s="185"/>
      <c r="C538" s="185"/>
      <c r="D538" s="185"/>
      <c r="E538" s="186"/>
      <c r="F538" s="186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</row>
    <row r="539" spans="1:26" ht="15.75" customHeight="1">
      <c r="A539" s="185"/>
      <c r="B539" s="185"/>
      <c r="C539" s="185"/>
      <c r="D539" s="185"/>
      <c r="E539" s="186"/>
      <c r="F539" s="186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</row>
    <row r="540" spans="1:26" ht="15.75" customHeight="1">
      <c r="A540" s="185"/>
      <c r="B540" s="185"/>
      <c r="C540" s="185"/>
      <c r="D540" s="185"/>
      <c r="E540" s="186"/>
      <c r="F540" s="186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</row>
    <row r="541" spans="1:26" ht="15.75" customHeight="1">
      <c r="A541" s="185"/>
      <c r="B541" s="185"/>
      <c r="C541" s="185"/>
      <c r="D541" s="185"/>
      <c r="E541" s="186"/>
      <c r="F541" s="186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</row>
    <row r="542" spans="1:26" ht="15.75" customHeight="1">
      <c r="A542" s="185"/>
      <c r="B542" s="185"/>
      <c r="C542" s="185"/>
      <c r="D542" s="185"/>
      <c r="E542" s="186"/>
      <c r="F542" s="186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</row>
    <row r="543" spans="1:26" ht="15.75" customHeight="1">
      <c r="A543" s="185"/>
      <c r="B543" s="185"/>
      <c r="C543" s="185"/>
      <c r="D543" s="185"/>
      <c r="E543" s="186"/>
      <c r="F543" s="186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</row>
    <row r="544" spans="1:26" ht="15.75" customHeight="1">
      <c r="A544" s="185"/>
      <c r="B544" s="185"/>
      <c r="C544" s="185"/>
      <c r="D544" s="185"/>
      <c r="E544" s="186"/>
      <c r="F544" s="186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</row>
    <row r="545" spans="1:26" ht="15.75" customHeight="1">
      <c r="A545" s="185"/>
      <c r="B545" s="185"/>
      <c r="C545" s="185"/>
      <c r="D545" s="185"/>
      <c r="E545" s="186"/>
      <c r="F545" s="186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</row>
    <row r="546" spans="1:26" ht="15.75" customHeight="1">
      <c r="A546" s="185"/>
      <c r="B546" s="185"/>
      <c r="C546" s="185"/>
      <c r="D546" s="185"/>
      <c r="E546" s="186"/>
      <c r="F546" s="186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</row>
    <row r="547" spans="1:26" ht="15.75" customHeight="1">
      <c r="A547" s="185"/>
      <c r="B547" s="185"/>
      <c r="C547" s="185"/>
      <c r="D547" s="185"/>
      <c r="E547" s="186"/>
      <c r="F547" s="186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</row>
    <row r="548" spans="1:26" ht="15.75" customHeight="1">
      <c r="A548" s="185"/>
      <c r="B548" s="185"/>
      <c r="C548" s="185"/>
      <c r="D548" s="185"/>
      <c r="E548" s="186"/>
      <c r="F548" s="186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</row>
    <row r="549" spans="1:26" ht="15.75" customHeight="1">
      <c r="A549" s="185"/>
      <c r="B549" s="185"/>
      <c r="C549" s="185"/>
      <c r="D549" s="185"/>
      <c r="E549" s="186"/>
      <c r="F549" s="186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</row>
    <row r="550" spans="1:26" ht="15.75" customHeight="1">
      <c r="A550" s="185"/>
      <c r="B550" s="185"/>
      <c r="C550" s="185"/>
      <c r="D550" s="185"/>
      <c r="E550" s="186"/>
      <c r="F550" s="186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</row>
    <row r="551" spans="1:26" ht="15.75" customHeight="1">
      <c r="A551" s="185"/>
      <c r="B551" s="185"/>
      <c r="C551" s="185"/>
      <c r="D551" s="185"/>
      <c r="E551" s="186"/>
      <c r="F551" s="186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</row>
    <row r="552" spans="1:26" ht="15.75" customHeight="1">
      <c r="A552" s="185"/>
      <c r="B552" s="185"/>
      <c r="C552" s="185"/>
      <c r="D552" s="185"/>
      <c r="E552" s="186"/>
      <c r="F552" s="186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</row>
    <row r="553" spans="1:26" ht="15.75" customHeight="1">
      <c r="A553" s="185"/>
      <c r="B553" s="185"/>
      <c r="C553" s="185"/>
      <c r="D553" s="185"/>
      <c r="E553" s="186"/>
      <c r="F553" s="186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</row>
    <row r="554" spans="1:26" ht="15.75" customHeight="1">
      <c r="A554" s="185"/>
      <c r="B554" s="185"/>
      <c r="C554" s="185"/>
      <c r="D554" s="185"/>
      <c r="E554" s="186"/>
      <c r="F554" s="186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</row>
    <row r="555" spans="1:26" ht="15.75" customHeight="1">
      <c r="A555" s="185"/>
      <c r="B555" s="185"/>
      <c r="C555" s="185"/>
      <c r="D555" s="185"/>
      <c r="E555" s="186"/>
      <c r="F555" s="186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</row>
    <row r="556" spans="1:26" ht="15.75" customHeight="1">
      <c r="A556" s="185"/>
      <c r="B556" s="185"/>
      <c r="C556" s="185"/>
      <c r="D556" s="185"/>
      <c r="E556" s="186"/>
      <c r="F556" s="186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</row>
    <row r="557" spans="1:26" ht="15.75" customHeight="1">
      <c r="A557" s="185"/>
      <c r="B557" s="185"/>
      <c r="C557" s="185"/>
      <c r="D557" s="185"/>
      <c r="E557" s="186"/>
      <c r="F557" s="186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</row>
    <row r="558" spans="1:26" ht="15.75" customHeight="1">
      <c r="A558" s="185"/>
      <c r="B558" s="185"/>
      <c r="C558" s="185"/>
      <c r="D558" s="185"/>
      <c r="E558" s="186"/>
      <c r="F558" s="186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</row>
    <row r="559" spans="1:26" ht="15.75" customHeight="1">
      <c r="A559" s="185"/>
      <c r="B559" s="185"/>
      <c r="C559" s="185"/>
      <c r="D559" s="185"/>
      <c r="E559" s="186"/>
      <c r="F559" s="186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</row>
    <row r="560" spans="1:26" ht="15.75" customHeight="1">
      <c r="A560" s="185"/>
      <c r="B560" s="185"/>
      <c r="C560" s="185"/>
      <c r="D560" s="185"/>
      <c r="E560" s="186"/>
      <c r="F560" s="186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</row>
    <row r="561" spans="1:26" ht="15.75" customHeight="1">
      <c r="A561" s="185"/>
      <c r="B561" s="185"/>
      <c r="C561" s="185"/>
      <c r="D561" s="185"/>
      <c r="E561" s="186"/>
      <c r="F561" s="186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</row>
    <row r="562" spans="1:26" ht="15.75" customHeight="1">
      <c r="A562" s="185"/>
      <c r="B562" s="185"/>
      <c r="C562" s="185"/>
      <c r="D562" s="185"/>
      <c r="E562" s="186"/>
      <c r="F562" s="186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</row>
    <row r="563" spans="1:26" ht="15.75" customHeight="1">
      <c r="A563" s="185"/>
      <c r="B563" s="185"/>
      <c r="C563" s="185"/>
      <c r="D563" s="185"/>
      <c r="E563" s="186"/>
      <c r="F563" s="186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</row>
    <row r="564" spans="1:26" ht="15.75" customHeight="1">
      <c r="A564" s="185"/>
      <c r="B564" s="185"/>
      <c r="C564" s="185"/>
      <c r="D564" s="185"/>
      <c r="E564" s="186"/>
      <c r="F564" s="186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</row>
    <row r="565" spans="1:26" ht="15.75" customHeight="1">
      <c r="A565" s="185"/>
      <c r="B565" s="185"/>
      <c r="C565" s="185"/>
      <c r="D565" s="185"/>
      <c r="E565" s="186"/>
      <c r="F565" s="186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</row>
    <row r="566" spans="1:26" ht="15.75" customHeight="1">
      <c r="A566" s="185"/>
      <c r="B566" s="185"/>
      <c r="C566" s="185"/>
      <c r="D566" s="185"/>
      <c r="E566" s="186"/>
      <c r="F566" s="186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</row>
    <row r="567" spans="1:26" ht="15.75" customHeight="1">
      <c r="A567" s="185"/>
      <c r="B567" s="185"/>
      <c r="C567" s="185"/>
      <c r="D567" s="185"/>
      <c r="E567" s="186"/>
      <c r="F567" s="186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</row>
    <row r="568" spans="1:26" ht="15.75" customHeight="1">
      <c r="A568" s="185"/>
      <c r="B568" s="185"/>
      <c r="C568" s="185"/>
      <c r="D568" s="185"/>
      <c r="E568" s="186"/>
      <c r="F568" s="186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</row>
    <row r="569" spans="1:26" ht="15.75" customHeight="1">
      <c r="A569" s="185"/>
      <c r="B569" s="185"/>
      <c r="C569" s="185"/>
      <c r="D569" s="185"/>
      <c r="E569" s="186"/>
      <c r="F569" s="186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</row>
    <row r="570" spans="1:26" ht="15.75" customHeight="1">
      <c r="A570" s="185"/>
      <c r="B570" s="185"/>
      <c r="C570" s="185"/>
      <c r="D570" s="185"/>
      <c r="E570" s="186"/>
      <c r="F570" s="186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</row>
    <row r="571" spans="1:26" ht="15.75" customHeight="1">
      <c r="A571" s="185"/>
      <c r="B571" s="185"/>
      <c r="C571" s="185"/>
      <c r="D571" s="185"/>
      <c r="E571" s="186"/>
      <c r="F571" s="186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</row>
    <row r="572" spans="1:26" ht="15.75" customHeight="1">
      <c r="A572" s="185"/>
      <c r="B572" s="185"/>
      <c r="C572" s="185"/>
      <c r="D572" s="185"/>
      <c r="E572" s="186"/>
      <c r="F572" s="186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</row>
    <row r="573" spans="1:26" ht="15.75" customHeight="1">
      <c r="A573" s="185"/>
      <c r="B573" s="185"/>
      <c r="C573" s="185"/>
      <c r="D573" s="185"/>
      <c r="E573" s="186"/>
      <c r="F573" s="186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</row>
    <row r="574" spans="1:26" ht="15.75" customHeight="1">
      <c r="A574" s="185"/>
      <c r="B574" s="185"/>
      <c r="C574" s="185"/>
      <c r="D574" s="185"/>
      <c r="E574" s="186"/>
      <c r="F574" s="186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</row>
    <row r="575" spans="1:26" ht="15.75" customHeight="1">
      <c r="A575" s="185"/>
      <c r="B575" s="185"/>
      <c r="C575" s="185"/>
      <c r="D575" s="185"/>
      <c r="E575" s="186"/>
      <c r="F575" s="186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</row>
    <row r="576" spans="1:26" ht="15.75" customHeight="1">
      <c r="A576" s="185"/>
      <c r="B576" s="185"/>
      <c r="C576" s="185"/>
      <c r="D576" s="185"/>
      <c r="E576" s="186"/>
      <c r="F576" s="186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</row>
    <row r="577" spans="1:26" ht="15.75" customHeight="1">
      <c r="A577" s="185"/>
      <c r="B577" s="185"/>
      <c r="C577" s="185"/>
      <c r="D577" s="185"/>
      <c r="E577" s="186"/>
      <c r="F577" s="186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</row>
    <row r="578" spans="1:26" ht="15.75" customHeight="1">
      <c r="A578" s="185"/>
      <c r="B578" s="185"/>
      <c r="C578" s="185"/>
      <c r="D578" s="185"/>
      <c r="E578" s="186"/>
      <c r="F578" s="186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</row>
    <row r="579" spans="1:26" ht="15.75" customHeight="1">
      <c r="A579" s="185"/>
      <c r="B579" s="185"/>
      <c r="C579" s="185"/>
      <c r="D579" s="185"/>
      <c r="E579" s="186"/>
      <c r="F579" s="186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</row>
    <row r="580" spans="1:26" ht="15.75" customHeight="1">
      <c r="A580" s="185"/>
      <c r="B580" s="185"/>
      <c r="C580" s="185"/>
      <c r="D580" s="185"/>
      <c r="E580" s="186"/>
      <c r="F580" s="186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</row>
    <row r="581" spans="1:26" ht="15.75" customHeight="1">
      <c r="A581" s="185"/>
      <c r="B581" s="185"/>
      <c r="C581" s="185"/>
      <c r="D581" s="185"/>
      <c r="E581" s="186"/>
      <c r="F581" s="186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</row>
    <row r="582" spans="1:26" ht="15.75" customHeight="1">
      <c r="A582" s="185"/>
      <c r="B582" s="185"/>
      <c r="C582" s="185"/>
      <c r="D582" s="185"/>
      <c r="E582" s="186"/>
      <c r="F582" s="186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</row>
    <row r="583" spans="1:26" ht="15.75" customHeight="1">
      <c r="A583" s="185"/>
      <c r="B583" s="185"/>
      <c r="C583" s="185"/>
      <c r="D583" s="185"/>
      <c r="E583" s="186"/>
      <c r="F583" s="186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</row>
    <row r="584" spans="1:26" ht="15.75" customHeight="1">
      <c r="A584" s="185"/>
      <c r="B584" s="185"/>
      <c r="C584" s="185"/>
      <c r="D584" s="185"/>
      <c r="E584" s="186"/>
      <c r="F584" s="186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</row>
    <row r="585" spans="1:26" ht="15.75" customHeight="1">
      <c r="A585" s="185"/>
      <c r="B585" s="185"/>
      <c r="C585" s="185"/>
      <c r="D585" s="185"/>
      <c r="E585" s="186"/>
      <c r="F585" s="186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</row>
    <row r="586" spans="1:26" ht="15.75" customHeight="1">
      <c r="A586" s="185"/>
      <c r="B586" s="185"/>
      <c r="C586" s="185"/>
      <c r="D586" s="185"/>
      <c r="E586" s="186"/>
      <c r="F586" s="186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</row>
    <row r="587" spans="1:26" ht="15.75" customHeight="1">
      <c r="A587" s="185"/>
      <c r="B587" s="185"/>
      <c r="C587" s="185"/>
      <c r="D587" s="185"/>
      <c r="E587" s="186"/>
      <c r="F587" s="186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</row>
    <row r="588" spans="1:26" ht="15.75" customHeight="1">
      <c r="A588" s="185"/>
      <c r="B588" s="185"/>
      <c r="C588" s="185"/>
      <c r="D588" s="185"/>
      <c r="E588" s="186"/>
      <c r="F588" s="186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</row>
    <row r="589" spans="1:26" ht="15.75" customHeight="1">
      <c r="A589" s="185"/>
      <c r="B589" s="185"/>
      <c r="C589" s="185"/>
      <c r="D589" s="185"/>
      <c r="E589" s="186"/>
      <c r="F589" s="186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</row>
    <row r="590" spans="1:26" ht="15.75" customHeight="1">
      <c r="A590" s="185"/>
      <c r="B590" s="185"/>
      <c r="C590" s="185"/>
      <c r="D590" s="185"/>
      <c r="E590" s="186"/>
      <c r="F590" s="186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</row>
    <row r="591" spans="1:26" ht="15.75" customHeight="1">
      <c r="A591" s="185"/>
      <c r="B591" s="185"/>
      <c r="C591" s="185"/>
      <c r="D591" s="185"/>
      <c r="E591" s="186"/>
      <c r="F591" s="186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</row>
    <row r="592" spans="1:26" ht="15.75" customHeight="1">
      <c r="A592" s="185"/>
      <c r="B592" s="185"/>
      <c r="C592" s="185"/>
      <c r="D592" s="185"/>
      <c r="E592" s="186"/>
      <c r="F592" s="186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</row>
    <row r="593" spans="1:26" ht="15.75" customHeight="1">
      <c r="A593" s="185"/>
      <c r="B593" s="185"/>
      <c r="C593" s="185"/>
      <c r="D593" s="185"/>
      <c r="E593" s="186"/>
      <c r="F593" s="186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</row>
    <row r="594" spans="1:26" ht="15.75" customHeight="1">
      <c r="A594" s="185"/>
      <c r="B594" s="185"/>
      <c r="C594" s="185"/>
      <c r="D594" s="185"/>
      <c r="E594" s="186"/>
      <c r="F594" s="186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</row>
    <row r="595" spans="1:26" ht="15.75" customHeight="1">
      <c r="A595" s="185"/>
      <c r="B595" s="185"/>
      <c r="C595" s="185"/>
      <c r="D595" s="185"/>
      <c r="E595" s="186"/>
      <c r="F595" s="186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</row>
    <row r="596" spans="1:26" ht="15.75" customHeight="1">
      <c r="A596" s="185"/>
      <c r="B596" s="185"/>
      <c r="C596" s="185"/>
      <c r="D596" s="185"/>
      <c r="E596" s="186"/>
      <c r="F596" s="186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</row>
    <row r="597" spans="1:26" ht="15.75" customHeight="1">
      <c r="A597" s="185"/>
      <c r="B597" s="185"/>
      <c r="C597" s="185"/>
      <c r="D597" s="185"/>
      <c r="E597" s="186"/>
      <c r="F597" s="186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</row>
    <row r="598" spans="1:26" ht="15.75" customHeight="1">
      <c r="A598" s="185"/>
      <c r="B598" s="185"/>
      <c r="C598" s="185"/>
      <c r="D598" s="185"/>
      <c r="E598" s="186"/>
      <c r="F598" s="186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</row>
    <row r="599" spans="1:26" ht="15.75" customHeight="1">
      <c r="A599" s="185"/>
      <c r="B599" s="185"/>
      <c r="C599" s="185"/>
      <c r="D599" s="185"/>
      <c r="E599" s="186"/>
      <c r="F599" s="186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</row>
    <row r="600" spans="1:26" ht="15.75" customHeight="1">
      <c r="A600" s="185"/>
      <c r="B600" s="185"/>
      <c r="C600" s="185"/>
      <c r="D600" s="185"/>
      <c r="E600" s="186"/>
      <c r="F600" s="186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</row>
    <row r="601" spans="1:26" ht="15.75" customHeight="1">
      <c r="A601" s="185"/>
      <c r="B601" s="185"/>
      <c r="C601" s="185"/>
      <c r="D601" s="185"/>
      <c r="E601" s="186"/>
      <c r="F601" s="186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</row>
    <row r="602" spans="1:26" ht="15.75" customHeight="1">
      <c r="A602" s="185"/>
      <c r="B602" s="185"/>
      <c r="C602" s="185"/>
      <c r="D602" s="185"/>
      <c r="E602" s="186"/>
      <c r="F602" s="186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</row>
    <row r="603" spans="1:26" ht="15.75" customHeight="1">
      <c r="A603" s="185"/>
      <c r="B603" s="185"/>
      <c r="C603" s="185"/>
      <c r="D603" s="185"/>
      <c r="E603" s="186"/>
      <c r="F603" s="186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</row>
    <row r="604" spans="1:26" ht="15.75" customHeight="1">
      <c r="A604" s="185"/>
      <c r="B604" s="185"/>
      <c r="C604" s="185"/>
      <c r="D604" s="185"/>
      <c r="E604" s="186"/>
      <c r="F604" s="186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</row>
    <row r="605" spans="1:26" ht="15.75" customHeight="1">
      <c r="A605" s="185"/>
      <c r="B605" s="185"/>
      <c r="C605" s="185"/>
      <c r="D605" s="185"/>
      <c r="E605" s="186"/>
      <c r="F605" s="186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</row>
    <row r="606" spans="1:26" ht="15.75" customHeight="1">
      <c r="A606" s="185"/>
      <c r="B606" s="185"/>
      <c r="C606" s="185"/>
      <c r="D606" s="185"/>
      <c r="E606" s="186"/>
      <c r="F606" s="186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</row>
    <row r="607" spans="1:26" ht="15.75" customHeight="1">
      <c r="A607" s="185"/>
      <c r="B607" s="185"/>
      <c r="C607" s="185"/>
      <c r="D607" s="185"/>
      <c r="E607" s="186"/>
      <c r="F607" s="186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</row>
    <row r="608" spans="1:26" ht="15.75" customHeight="1">
      <c r="A608" s="185"/>
      <c r="B608" s="185"/>
      <c r="C608" s="185"/>
      <c r="D608" s="185"/>
      <c r="E608" s="186"/>
      <c r="F608" s="186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</row>
    <row r="609" spans="1:26" ht="15.75" customHeight="1">
      <c r="A609" s="185"/>
      <c r="B609" s="185"/>
      <c r="C609" s="185"/>
      <c r="D609" s="185"/>
      <c r="E609" s="186"/>
      <c r="F609" s="186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</row>
    <row r="610" spans="1:26" ht="15.75" customHeight="1">
      <c r="A610" s="185"/>
      <c r="B610" s="185"/>
      <c r="C610" s="185"/>
      <c r="D610" s="185"/>
      <c r="E610" s="186"/>
      <c r="F610" s="186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</row>
    <row r="611" spans="1:26" ht="15.75" customHeight="1">
      <c r="A611" s="185"/>
      <c r="B611" s="185"/>
      <c r="C611" s="185"/>
      <c r="D611" s="185"/>
      <c r="E611" s="186"/>
      <c r="F611" s="186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</row>
    <row r="612" spans="1:26" ht="15.75" customHeight="1">
      <c r="A612" s="185"/>
      <c r="B612" s="185"/>
      <c r="C612" s="185"/>
      <c r="D612" s="185"/>
      <c r="E612" s="186"/>
      <c r="F612" s="186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</row>
    <row r="613" spans="1:26" ht="15.75" customHeight="1">
      <c r="A613" s="185"/>
      <c r="B613" s="185"/>
      <c r="C613" s="185"/>
      <c r="D613" s="185"/>
      <c r="E613" s="186"/>
      <c r="F613" s="186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</row>
    <row r="614" spans="1:26" ht="15.75" customHeight="1">
      <c r="A614" s="185"/>
      <c r="B614" s="185"/>
      <c r="C614" s="185"/>
      <c r="D614" s="185"/>
      <c r="E614" s="186"/>
      <c r="F614" s="186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</row>
    <row r="615" spans="1:26" ht="15.75" customHeight="1">
      <c r="A615" s="185"/>
      <c r="B615" s="185"/>
      <c r="C615" s="185"/>
      <c r="D615" s="185"/>
      <c r="E615" s="186"/>
      <c r="F615" s="186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</row>
    <row r="616" spans="1:26" ht="15.75" customHeight="1">
      <c r="A616" s="185"/>
      <c r="B616" s="185"/>
      <c r="C616" s="185"/>
      <c r="D616" s="185"/>
      <c r="E616" s="186"/>
      <c r="F616" s="186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</row>
    <row r="617" spans="1:26" ht="15.75" customHeight="1">
      <c r="A617" s="185"/>
      <c r="B617" s="185"/>
      <c r="C617" s="185"/>
      <c r="D617" s="185"/>
      <c r="E617" s="186"/>
      <c r="F617" s="186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</row>
    <row r="618" spans="1:26" ht="15.75" customHeight="1">
      <c r="A618" s="185"/>
      <c r="B618" s="185"/>
      <c r="C618" s="185"/>
      <c r="D618" s="185"/>
      <c r="E618" s="186"/>
      <c r="F618" s="186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</row>
    <row r="619" spans="1:26" ht="15.75" customHeight="1">
      <c r="A619" s="185"/>
      <c r="B619" s="185"/>
      <c r="C619" s="185"/>
      <c r="D619" s="185"/>
      <c r="E619" s="186"/>
      <c r="F619" s="186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</row>
    <row r="620" spans="1:26" ht="15.75" customHeight="1">
      <c r="A620" s="185"/>
      <c r="B620" s="185"/>
      <c r="C620" s="185"/>
      <c r="D620" s="185"/>
      <c r="E620" s="186"/>
      <c r="F620" s="186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</row>
    <row r="621" spans="1:26" ht="15.75" customHeight="1">
      <c r="A621" s="185"/>
      <c r="B621" s="185"/>
      <c r="C621" s="185"/>
      <c r="D621" s="185"/>
      <c r="E621" s="186"/>
      <c r="F621" s="186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</row>
    <row r="622" spans="1:26" ht="15.75" customHeight="1">
      <c r="A622" s="185"/>
      <c r="B622" s="185"/>
      <c r="C622" s="185"/>
      <c r="D622" s="185"/>
      <c r="E622" s="186"/>
      <c r="F622" s="186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</row>
    <row r="623" spans="1:26" ht="15.75" customHeight="1">
      <c r="A623" s="185"/>
      <c r="B623" s="185"/>
      <c r="C623" s="185"/>
      <c r="D623" s="185"/>
      <c r="E623" s="186"/>
      <c r="F623" s="186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</row>
    <row r="624" spans="1:26" ht="15.75" customHeight="1">
      <c r="A624" s="185"/>
      <c r="B624" s="185"/>
      <c r="C624" s="185"/>
      <c r="D624" s="185"/>
      <c r="E624" s="186"/>
      <c r="F624" s="186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</row>
    <row r="625" spans="1:26" ht="15.75" customHeight="1">
      <c r="A625" s="185"/>
      <c r="B625" s="185"/>
      <c r="C625" s="185"/>
      <c r="D625" s="185"/>
      <c r="E625" s="186"/>
      <c r="F625" s="186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</row>
    <row r="626" spans="1:26" ht="15.75" customHeight="1">
      <c r="A626" s="185"/>
      <c r="B626" s="185"/>
      <c r="C626" s="185"/>
      <c r="D626" s="185"/>
      <c r="E626" s="186"/>
      <c r="F626" s="186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</row>
    <row r="627" spans="1:26" ht="15.75" customHeight="1">
      <c r="A627" s="185"/>
      <c r="B627" s="185"/>
      <c r="C627" s="185"/>
      <c r="D627" s="185"/>
      <c r="E627" s="186"/>
      <c r="F627" s="186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</row>
    <row r="628" spans="1:26" ht="15.75" customHeight="1">
      <c r="A628" s="185"/>
      <c r="B628" s="185"/>
      <c r="C628" s="185"/>
      <c r="D628" s="185"/>
      <c r="E628" s="186"/>
      <c r="F628" s="186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</row>
    <row r="629" spans="1:26" ht="15.75" customHeight="1">
      <c r="A629" s="185"/>
      <c r="B629" s="185"/>
      <c r="C629" s="185"/>
      <c r="D629" s="185"/>
      <c r="E629" s="186"/>
      <c r="F629" s="186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</row>
    <row r="630" spans="1:26" ht="15.75" customHeight="1">
      <c r="A630" s="185"/>
      <c r="B630" s="185"/>
      <c r="C630" s="185"/>
      <c r="D630" s="185"/>
      <c r="E630" s="186"/>
      <c r="F630" s="186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</row>
    <row r="631" spans="1:26" ht="15.75" customHeight="1">
      <c r="A631" s="185"/>
      <c r="B631" s="185"/>
      <c r="C631" s="185"/>
      <c r="D631" s="185"/>
      <c r="E631" s="186"/>
      <c r="F631" s="186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</row>
    <row r="632" spans="1:26" ht="15.75" customHeight="1">
      <c r="A632" s="185"/>
      <c r="B632" s="185"/>
      <c r="C632" s="185"/>
      <c r="D632" s="185"/>
      <c r="E632" s="186"/>
      <c r="F632" s="186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</row>
    <row r="633" spans="1:26" ht="15.75" customHeight="1">
      <c r="A633" s="185"/>
      <c r="B633" s="185"/>
      <c r="C633" s="185"/>
      <c r="D633" s="185"/>
      <c r="E633" s="186"/>
      <c r="F633" s="186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</row>
    <row r="634" spans="1:26" ht="15.75" customHeight="1">
      <c r="A634" s="185"/>
      <c r="B634" s="185"/>
      <c r="C634" s="185"/>
      <c r="D634" s="185"/>
      <c r="E634" s="186"/>
      <c r="F634" s="186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</row>
    <row r="635" spans="1:26" ht="15.75" customHeight="1">
      <c r="A635" s="185"/>
      <c r="B635" s="185"/>
      <c r="C635" s="185"/>
      <c r="D635" s="185"/>
      <c r="E635" s="186"/>
      <c r="F635" s="186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</row>
    <row r="636" spans="1:26" ht="15.75" customHeight="1">
      <c r="A636" s="185"/>
      <c r="B636" s="185"/>
      <c r="C636" s="185"/>
      <c r="D636" s="185"/>
      <c r="E636" s="186"/>
      <c r="F636" s="186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</row>
    <row r="637" spans="1:26" ht="15.75" customHeight="1">
      <c r="A637" s="185"/>
      <c r="B637" s="185"/>
      <c r="C637" s="185"/>
      <c r="D637" s="185"/>
      <c r="E637" s="186"/>
      <c r="F637" s="186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</row>
    <row r="638" spans="1:26" ht="15.75" customHeight="1">
      <c r="A638" s="185"/>
      <c r="B638" s="185"/>
      <c r="C638" s="185"/>
      <c r="D638" s="185"/>
      <c r="E638" s="186"/>
      <c r="F638" s="186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</row>
    <row r="639" spans="1:26" ht="15.75" customHeight="1">
      <c r="A639" s="185"/>
      <c r="B639" s="185"/>
      <c r="C639" s="185"/>
      <c r="D639" s="185"/>
      <c r="E639" s="186"/>
      <c r="F639" s="186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</row>
    <row r="640" spans="1:26" ht="15.75" customHeight="1">
      <c r="A640" s="185"/>
      <c r="B640" s="185"/>
      <c r="C640" s="185"/>
      <c r="D640" s="185"/>
      <c r="E640" s="186"/>
      <c r="F640" s="186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</row>
    <row r="641" spans="1:26" ht="15.75" customHeight="1">
      <c r="A641" s="185"/>
      <c r="B641" s="185"/>
      <c r="C641" s="185"/>
      <c r="D641" s="185"/>
      <c r="E641" s="186"/>
      <c r="F641" s="186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</row>
    <row r="642" spans="1:26" ht="15.75" customHeight="1">
      <c r="A642" s="185"/>
      <c r="B642" s="185"/>
      <c r="C642" s="185"/>
      <c r="D642" s="185"/>
      <c r="E642" s="186"/>
      <c r="F642" s="186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</row>
    <row r="643" spans="1:26" ht="15.75" customHeight="1">
      <c r="A643" s="185"/>
      <c r="B643" s="185"/>
      <c r="C643" s="185"/>
      <c r="D643" s="185"/>
      <c r="E643" s="186"/>
      <c r="F643" s="186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</row>
    <row r="644" spans="1:26" ht="15.75" customHeight="1">
      <c r="A644" s="185"/>
      <c r="B644" s="185"/>
      <c r="C644" s="185"/>
      <c r="D644" s="185"/>
      <c r="E644" s="186"/>
      <c r="F644" s="186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</row>
    <row r="645" spans="1:26" ht="15.75" customHeight="1">
      <c r="A645" s="185"/>
      <c r="B645" s="185"/>
      <c r="C645" s="185"/>
      <c r="D645" s="185"/>
      <c r="E645" s="186"/>
      <c r="F645" s="186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</row>
    <row r="646" spans="1:26" ht="15.75" customHeight="1">
      <c r="A646" s="185"/>
      <c r="B646" s="185"/>
      <c r="C646" s="185"/>
      <c r="D646" s="185"/>
      <c r="E646" s="186"/>
      <c r="F646" s="186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</row>
    <row r="647" spans="1:26" ht="15.75" customHeight="1">
      <c r="A647" s="185"/>
      <c r="B647" s="185"/>
      <c r="C647" s="185"/>
      <c r="D647" s="185"/>
      <c r="E647" s="186"/>
      <c r="F647" s="186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</row>
    <row r="648" spans="1:26" ht="15.75" customHeight="1">
      <c r="A648" s="185"/>
      <c r="B648" s="185"/>
      <c r="C648" s="185"/>
      <c r="D648" s="185"/>
      <c r="E648" s="186"/>
      <c r="F648" s="186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</row>
    <row r="649" spans="1:26" ht="15.75" customHeight="1">
      <c r="A649" s="185"/>
      <c r="B649" s="185"/>
      <c r="C649" s="185"/>
      <c r="D649" s="185"/>
      <c r="E649" s="186"/>
      <c r="F649" s="186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</row>
    <row r="650" spans="1:26" ht="15.75" customHeight="1">
      <c r="A650" s="185"/>
      <c r="B650" s="185"/>
      <c r="C650" s="185"/>
      <c r="D650" s="185"/>
      <c r="E650" s="186"/>
      <c r="F650" s="186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</row>
    <row r="651" spans="1:26" ht="15.75" customHeight="1">
      <c r="A651" s="185"/>
      <c r="B651" s="185"/>
      <c r="C651" s="185"/>
      <c r="D651" s="185"/>
      <c r="E651" s="186"/>
      <c r="F651" s="186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</row>
    <row r="652" spans="1:26" ht="15.75" customHeight="1">
      <c r="A652" s="185"/>
      <c r="B652" s="185"/>
      <c r="C652" s="185"/>
      <c r="D652" s="185"/>
      <c r="E652" s="186"/>
      <c r="F652" s="186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</row>
    <row r="653" spans="1:26" ht="15.75" customHeight="1">
      <c r="A653" s="185"/>
      <c r="B653" s="185"/>
      <c r="C653" s="185"/>
      <c r="D653" s="185"/>
      <c r="E653" s="186"/>
      <c r="F653" s="186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</row>
    <row r="654" spans="1:26" ht="15.75" customHeight="1">
      <c r="A654" s="185"/>
      <c r="B654" s="185"/>
      <c r="C654" s="185"/>
      <c r="D654" s="185"/>
      <c r="E654" s="186"/>
      <c r="F654" s="186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</row>
    <row r="655" spans="1:26" ht="15.75" customHeight="1">
      <c r="A655" s="185"/>
      <c r="B655" s="185"/>
      <c r="C655" s="185"/>
      <c r="D655" s="185"/>
      <c r="E655" s="186"/>
      <c r="F655" s="186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</row>
    <row r="656" spans="1:26" ht="15.75" customHeight="1">
      <c r="A656" s="185"/>
      <c r="B656" s="185"/>
      <c r="C656" s="185"/>
      <c r="D656" s="185"/>
      <c r="E656" s="186"/>
      <c r="F656" s="186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</row>
    <row r="657" spans="1:26" ht="15.75" customHeight="1">
      <c r="A657" s="185"/>
      <c r="B657" s="185"/>
      <c r="C657" s="185"/>
      <c r="D657" s="185"/>
      <c r="E657" s="186"/>
      <c r="F657" s="186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</row>
    <row r="658" spans="1:26" ht="15.75" customHeight="1">
      <c r="A658" s="185"/>
      <c r="B658" s="185"/>
      <c r="C658" s="185"/>
      <c r="D658" s="185"/>
      <c r="E658" s="186"/>
      <c r="F658" s="186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</row>
    <row r="659" spans="1:26" ht="15.75" customHeight="1">
      <c r="A659" s="185"/>
      <c r="B659" s="185"/>
      <c r="C659" s="185"/>
      <c r="D659" s="185"/>
      <c r="E659" s="186"/>
      <c r="F659" s="186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</row>
    <row r="660" spans="1:26" ht="15.75" customHeight="1">
      <c r="A660" s="185"/>
      <c r="B660" s="185"/>
      <c r="C660" s="185"/>
      <c r="D660" s="185"/>
      <c r="E660" s="186"/>
      <c r="F660" s="186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</row>
    <row r="661" spans="1:26" ht="15.75" customHeight="1">
      <c r="A661" s="185"/>
      <c r="B661" s="185"/>
      <c r="C661" s="185"/>
      <c r="D661" s="185"/>
      <c r="E661" s="186"/>
      <c r="F661" s="186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</row>
    <row r="662" spans="1:26" ht="15.75" customHeight="1">
      <c r="A662" s="185"/>
      <c r="B662" s="185"/>
      <c r="C662" s="185"/>
      <c r="D662" s="185"/>
      <c r="E662" s="186"/>
      <c r="F662" s="186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</row>
    <row r="663" spans="1:26" ht="15.75" customHeight="1">
      <c r="A663" s="185"/>
      <c r="B663" s="185"/>
      <c r="C663" s="185"/>
      <c r="D663" s="185"/>
      <c r="E663" s="186"/>
      <c r="F663" s="186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</row>
    <row r="664" spans="1:26" ht="15.75" customHeight="1">
      <c r="A664" s="185"/>
      <c r="B664" s="185"/>
      <c r="C664" s="185"/>
      <c r="D664" s="185"/>
      <c r="E664" s="186"/>
      <c r="F664" s="186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</row>
    <row r="665" spans="1:26" ht="15.75" customHeight="1">
      <c r="A665" s="185"/>
      <c r="B665" s="185"/>
      <c r="C665" s="185"/>
      <c r="D665" s="185"/>
      <c r="E665" s="186"/>
      <c r="F665" s="186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</row>
    <row r="666" spans="1:26" ht="15.75" customHeight="1">
      <c r="A666" s="185"/>
      <c r="B666" s="185"/>
      <c r="C666" s="185"/>
      <c r="D666" s="185"/>
      <c r="E666" s="186"/>
      <c r="F666" s="186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</row>
    <row r="667" spans="1:26" ht="15.75" customHeight="1">
      <c r="A667" s="185"/>
      <c r="B667" s="185"/>
      <c r="C667" s="185"/>
      <c r="D667" s="185"/>
      <c r="E667" s="186"/>
      <c r="F667" s="186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</row>
    <row r="668" spans="1:26" ht="15.75" customHeight="1">
      <c r="A668" s="185"/>
      <c r="B668" s="185"/>
      <c r="C668" s="185"/>
      <c r="D668" s="185"/>
      <c r="E668" s="186"/>
      <c r="F668" s="186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</row>
    <row r="669" spans="1:26" ht="15.75" customHeight="1">
      <c r="A669" s="185"/>
      <c r="B669" s="185"/>
      <c r="C669" s="185"/>
      <c r="D669" s="185"/>
      <c r="E669" s="186"/>
      <c r="F669" s="186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</row>
    <row r="670" spans="1:26" ht="15.75" customHeight="1">
      <c r="A670" s="185"/>
      <c r="B670" s="185"/>
      <c r="C670" s="185"/>
      <c r="D670" s="185"/>
      <c r="E670" s="186"/>
      <c r="F670" s="186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</row>
    <row r="671" spans="1:26" ht="15.75" customHeight="1">
      <c r="A671" s="185"/>
      <c r="B671" s="185"/>
      <c r="C671" s="185"/>
      <c r="D671" s="185"/>
      <c r="E671" s="186"/>
      <c r="F671" s="186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</row>
    <row r="672" spans="1:26" ht="15.75" customHeight="1">
      <c r="A672" s="185"/>
      <c r="B672" s="185"/>
      <c r="C672" s="185"/>
      <c r="D672" s="185"/>
      <c r="E672" s="186"/>
      <c r="F672" s="186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</row>
    <row r="673" spans="1:26" ht="15.75" customHeight="1">
      <c r="A673" s="185"/>
      <c r="B673" s="185"/>
      <c r="C673" s="185"/>
      <c r="D673" s="185"/>
      <c r="E673" s="186"/>
      <c r="F673" s="186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</row>
    <row r="674" spans="1:26" ht="15.75" customHeight="1">
      <c r="A674" s="185"/>
      <c r="B674" s="185"/>
      <c r="C674" s="185"/>
      <c r="D674" s="185"/>
      <c r="E674" s="186"/>
      <c r="F674" s="186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</row>
    <row r="675" spans="1:26" ht="15.75" customHeight="1">
      <c r="A675" s="185"/>
      <c r="B675" s="185"/>
      <c r="C675" s="185"/>
      <c r="D675" s="185"/>
      <c r="E675" s="186"/>
      <c r="F675" s="186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</row>
    <row r="676" spans="1:26" ht="15.75" customHeight="1">
      <c r="A676" s="185"/>
      <c r="B676" s="185"/>
      <c r="C676" s="185"/>
      <c r="D676" s="185"/>
      <c r="E676" s="186"/>
      <c r="F676" s="186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</row>
    <row r="677" spans="1:26" ht="15.75" customHeight="1">
      <c r="A677" s="185"/>
      <c r="B677" s="185"/>
      <c r="C677" s="185"/>
      <c r="D677" s="185"/>
      <c r="E677" s="186"/>
      <c r="F677" s="186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</row>
    <row r="678" spans="1:26" ht="15.75" customHeight="1">
      <c r="A678" s="185"/>
      <c r="B678" s="185"/>
      <c r="C678" s="185"/>
      <c r="D678" s="185"/>
      <c r="E678" s="186"/>
      <c r="F678" s="186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</row>
    <row r="679" spans="1:26" ht="15.75" customHeight="1">
      <c r="A679" s="185"/>
      <c r="B679" s="185"/>
      <c r="C679" s="185"/>
      <c r="D679" s="185"/>
      <c r="E679" s="186"/>
      <c r="F679" s="186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</row>
    <row r="680" spans="1:26" ht="15.75" customHeight="1">
      <c r="A680" s="185"/>
      <c r="B680" s="185"/>
      <c r="C680" s="185"/>
      <c r="D680" s="185"/>
      <c r="E680" s="186"/>
      <c r="F680" s="186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</row>
    <row r="681" spans="1:26" ht="15.75" customHeight="1">
      <c r="A681" s="185"/>
      <c r="B681" s="185"/>
      <c r="C681" s="185"/>
      <c r="D681" s="185"/>
      <c r="E681" s="186"/>
      <c r="F681" s="186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</row>
    <row r="682" spans="1:26" ht="15.75" customHeight="1">
      <c r="A682" s="185"/>
      <c r="B682" s="185"/>
      <c r="C682" s="185"/>
      <c r="D682" s="185"/>
      <c r="E682" s="186"/>
      <c r="F682" s="186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</row>
    <row r="683" spans="1:26" ht="15.75" customHeight="1">
      <c r="A683" s="185"/>
      <c r="B683" s="185"/>
      <c r="C683" s="185"/>
      <c r="D683" s="185"/>
      <c r="E683" s="186"/>
      <c r="F683" s="186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</row>
    <row r="684" spans="1:26" ht="15.75" customHeight="1">
      <c r="A684" s="185"/>
      <c r="B684" s="185"/>
      <c r="C684" s="185"/>
      <c r="D684" s="185"/>
      <c r="E684" s="186"/>
      <c r="F684" s="186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</row>
    <row r="685" spans="1:26" ht="15.75" customHeight="1">
      <c r="A685" s="185"/>
      <c r="B685" s="185"/>
      <c r="C685" s="185"/>
      <c r="D685" s="185"/>
      <c r="E685" s="186"/>
      <c r="F685" s="186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</row>
    <row r="686" spans="1:26" ht="15.75" customHeight="1">
      <c r="A686" s="185"/>
      <c r="B686" s="185"/>
      <c r="C686" s="185"/>
      <c r="D686" s="185"/>
      <c r="E686" s="186"/>
      <c r="F686" s="186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</row>
    <row r="687" spans="1:26" ht="15.75" customHeight="1">
      <c r="A687" s="185"/>
      <c r="B687" s="185"/>
      <c r="C687" s="185"/>
      <c r="D687" s="185"/>
      <c r="E687" s="186"/>
      <c r="F687" s="186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</row>
    <row r="688" spans="1:26" ht="15.75" customHeight="1">
      <c r="A688" s="185"/>
      <c r="B688" s="185"/>
      <c r="C688" s="185"/>
      <c r="D688" s="185"/>
      <c r="E688" s="186"/>
      <c r="F688" s="186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</row>
    <row r="689" spans="1:26" ht="15.75" customHeight="1">
      <c r="A689" s="185"/>
      <c r="B689" s="185"/>
      <c r="C689" s="185"/>
      <c r="D689" s="185"/>
      <c r="E689" s="186"/>
      <c r="F689" s="186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</row>
    <row r="690" spans="1:26" ht="15.75" customHeight="1">
      <c r="A690" s="185"/>
      <c r="B690" s="185"/>
      <c r="C690" s="185"/>
      <c r="D690" s="185"/>
      <c r="E690" s="186"/>
      <c r="F690" s="186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</row>
    <row r="691" spans="1:26" ht="15.75" customHeight="1">
      <c r="A691" s="185"/>
      <c r="B691" s="185"/>
      <c r="C691" s="185"/>
      <c r="D691" s="185"/>
      <c r="E691" s="186"/>
      <c r="F691" s="186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</row>
    <row r="692" spans="1:26" ht="15.75" customHeight="1">
      <c r="A692" s="185"/>
      <c r="B692" s="185"/>
      <c r="C692" s="185"/>
      <c r="D692" s="185"/>
      <c r="E692" s="186"/>
      <c r="F692" s="186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</row>
    <row r="693" spans="1:26" ht="15.75" customHeight="1">
      <c r="A693" s="185"/>
      <c r="B693" s="185"/>
      <c r="C693" s="185"/>
      <c r="D693" s="185"/>
      <c r="E693" s="186"/>
      <c r="F693" s="186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</row>
    <row r="694" spans="1:26" ht="15.75" customHeight="1">
      <c r="A694" s="185"/>
      <c r="B694" s="185"/>
      <c r="C694" s="185"/>
      <c r="D694" s="185"/>
      <c r="E694" s="186"/>
      <c r="F694" s="186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</row>
    <row r="695" spans="1:26" ht="15.75" customHeight="1">
      <c r="A695" s="185"/>
      <c r="B695" s="185"/>
      <c r="C695" s="185"/>
      <c r="D695" s="185"/>
      <c r="E695" s="186"/>
      <c r="F695" s="186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</row>
    <row r="696" spans="1:26" ht="15.75" customHeight="1">
      <c r="A696" s="185"/>
      <c r="B696" s="185"/>
      <c r="C696" s="185"/>
      <c r="D696" s="185"/>
      <c r="E696" s="186"/>
      <c r="F696" s="186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</row>
    <row r="697" spans="1:26" ht="15.75" customHeight="1">
      <c r="A697" s="185"/>
      <c r="B697" s="185"/>
      <c r="C697" s="185"/>
      <c r="D697" s="185"/>
      <c r="E697" s="186"/>
      <c r="F697" s="186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</row>
    <row r="698" spans="1:26" ht="15.75" customHeight="1">
      <c r="A698" s="185"/>
      <c r="B698" s="185"/>
      <c r="C698" s="185"/>
      <c r="D698" s="185"/>
      <c r="E698" s="186"/>
      <c r="F698" s="186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</row>
    <row r="699" spans="1:26" ht="15.75" customHeight="1">
      <c r="A699" s="185"/>
      <c r="B699" s="185"/>
      <c r="C699" s="185"/>
      <c r="D699" s="185"/>
      <c r="E699" s="186"/>
      <c r="F699" s="186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</row>
    <row r="700" spans="1:26" ht="15.75" customHeight="1">
      <c r="A700" s="185"/>
      <c r="B700" s="185"/>
      <c r="C700" s="185"/>
      <c r="D700" s="185"/>
      <c r="E700" s="186"/>
      <c r="F700" s="186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</row>
    <row r="701" spans="1:26" ht="15.75" customHeight="1">
      <c r="A701" s="185"/>
      <c r="B701" s="185"/>
      <c r="C701" s="185"/>
      <c r="D701" s="185"/>
      <c r="E701" s="186"/>
      <c r="F701" s="186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</row>
    <row r="702" spans="1:26" ht="15.75" customHeight="1">
      <c r="A702" s="185"/>
      <c r="B702" s="185"/>
      <c r="C702" s="185"/>
      <c r="D702" s="185"/>
      <c r="E702" s="186"/>
      <c r="F702" s="186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</row>
    <row r="703" spans="1:26" ht="15.75" customHeight="1">
      <c r="A703" s="185"/>
      <c r="B703" s="185"/>
      <c r="C703" s="185"/>
      <c r="D703" s="185"/>
      <c r="E703" s="186"/>
      <c r="F703" s="186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</row>
    <row r="704" spans="1:26" ht="15.75" customHeight="1">
      <c r="A704" s="185"/>
      <c r="B704" s="185"/>
      <c r="C704" s="185"/>
      <c r="D704" s="185"/>
      <c r="E704" s="186"/>
      <c r="F704" s="186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</row>
    <row r="705" spans="1:26" ht="15.75" customHeight="1">
      <c r="A705" s="185"/>
      <c r="B705" s="185"/>
      <c r="C705" s="185"/>
      <c r="D705" s="185"/>
      <c r="E705" s="186"/>
      <c r="F705" s="186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</row>
    <row r="706" spans="1:26" ht="15.75" customHeight="1">
      <c r="A706" s="185"/>
      <c r="B706" s="185"/>
      <c r="C706" s="185"/>
      <c r="D706" s="185"/>
      <c r="E706" s="186"/>
      <c r="F706" s="186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</row>
    <row r="707" spans="1:26" ht="15.75" customHeight="1">
      <c r="A707" s="185"/>
      <c r="B707" s="185"/>
      <c r="C707" s="185"/>
      <c r="D707" s="185"/>
      <c r="E707" s="186"/>
      <c r="F707" s="186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</row>
    <row r="708" spans="1:26" ht="15.75" customHeight="1">
      <c r="A708" s="185"/>
      <c r="B708" s="185"/>
      <c r="C708" s="185"/>
      <c r="D708" s="185"/>
      <c r="E708" s="186"/>
      <c r="F708" s="186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</row>
    <row r="709" spans="1:26" ht="15.75" customHeight="1">
      <c r="A709" s="185"/>
      <c r="B709" s="185"/>
      <c r="C709" s="185"/>
      <c r="D709" s="185"/>
      <c r="E709" s="186"/>
      <c r="F709" s="186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</row>
    <row r="710" spans="1:26" ht="15.75" customHeight="1">
      <c r="A710" s="185"/>
      <c r="B710" s="185"/>
      <c r="C710" s="185"/>
      <c r="D710" s="185"/>
      <c r="E710" s="186"/>
      <c r="F710" s="186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</row>
    <row r="711" spans="1:26" ht="15.75" customHeight="1">
      <c r="A711" s="185"/>
      <c r="B711" s="185"/>
      <c r="C711" s="185"/>
      <c r="D711" s="185"/>
      <c r="E711" s="186"/>
      <c r="F711" s="186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</row>
    <row r="712" spans="1:26" ht="15.75" customHeight="1">
      <c r="A712" s="185"/>
      <c r="B712" s="185"/>
      <c r="C712" s="185"/>
      <c r="D712" s="185"/>
      <c r="E712" s="186"/>
      <c r="F712" s="186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</row>
    <row r="713" spans="1:26" ht="15.75" customHeight="1">
      <c r="A713" s="185"/>
      <c r="B713" s="185"/>
      <c r="C713" s="185"/>
      <c r="D713" s="185"/>
      <c r="E713" s="186"/>
      <c r="F713" s="186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</row>
    <row r="714" spans="1:26" ht="15.75" customHeight="1">
      <c r="A714" s="185"/>
      <c r="B714" s="185"/>
      <c r="C714" s="185"/>
      <c r="D714" s="185"/>
      <c r="E714" s="186"/>
      <c r="F714" s="186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</row>
    <row r="715" spans="1:26" ht="15.75" customHeight="1">
      <c r="A715" s="185"/>
      <c r="B715" s="185"/>
      <c r="C715" s="185"/>
      <c r="D715" s="185"/>
      <c r="E715" s="186"/>
      <c r="F715" s="186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</row>
    <row r="716" spans="1:26" ht="15.75" customHeight="1">
      <c r="A716" s="185"/>
      <c r="B716" s="185"/>
      <c r="C716" s="185"/>
      <c r="D716" s="185"/>
      <c r="E716" s="186"/>
      <c r="F716" s="186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</row>
    <row r="717" spans="1:26" ht="15.75" customHeight="1">
      <c r="A717" s="185"/>
      <c r="B717" s="185"/>
      <c r="C717" s="185"/>
      <c r="D717" s="185"/>
      <c r="E717" s="186"/>
      <c r="F717" s="186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</row>
    <row r="718" spans="1:26" ht="15.75" customHeight="1">
      <c r="A718" s="185"/>
      <c r="B718" s="185"/>
      <c r="C718" s="185"/>
      <c r="D718" s="185"/>
      <c r="E718" s="186"/>
      <c r="F718" s="186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</row>
    <row r="719" spans="1:26" ht="15.75" customHeight="1">
      <c r="A719" s="185"/>
      <c r="B719" s="185"/>
      <c r="C719" s="185"/>
      <c r="D719" s="185"/>
      <c r="E719" s="186"/>
      <c r="F719" s="186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</row>
    <row r="720" spans="1:26" ht="15.75" customHeight="1">
      <c r="A720" s="185"/>
      <c r="B720" s="185"/>
      <c r="C720" s="185"/>
      <c r="D720" s="185"/>
      <c r="E720" s="186"/>
      <c r="F720" s="186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</row>
    <row r="721" spans="1:26" ht="15.75" customHeight="1">
      <c r="A721" s="185"/>
      <c r="B721" s="185"/>
      <c r="C721" s="185"/>
      <c r="D721" s="185"/>
      <c r="E721" s="186"/>
      <c r="F721" s="186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</row>
    <row r="722" spans="1:26" ht="15.75" customHeight="1">
      <c r="A722" s="185"/>
      <c r="B722" s="185"/>
      <c r="C722" s="185"/>
      <c r="D722" s="185"/>
      <c r="E722" s="186"/>
      <c r="F722" s="186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</row>
    <row r="723" spans="1:26" ht="15.75" customHeight="1">
      <c r="A723" s="185"/>
      <c r="B723" s="185"/>
      <c r="C723" s="185"/>
      <c r="D723" s="185"/>
      <c r="E723" s="186"/>
      <c r="F723" s="186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</row>
    <row r="724" spans="1:26" ht="15.75" customHeight="1">
      <c r="A724" s="185"/>
      <c r="B724" s="185"/>
      <c r="C724" s="185"/>
      <c r="D724" s="185"/>
      <c r="E724" s="186"/>
      <c r="F724" s="186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</row>
    <row r="725" spans="1:26" ht="15.75" customHeight="1">
      <c r="A725" s="185"/>
      <c r="B725" s="185"/>
      <c r="C725" s="185"/>
      <c r="D725" s="185"/>
      <c r="E725" s="186"/>
      <c r="F725" s="186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</row>
    <row r="726" spans="1:26" ht="15.75" customHeight="1">
      <c r="A726" s="185"/>
      <c r="B726" s="185"/>
      <c r="C726" s="185"/>
      <c r="D726" s="185"/>
      <c r="E726" s="186"/>
      <c r="F726" s="186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</row>
    <row r="727" spans="1:26" ht="15.75" customHeight="1">
      <c r="A727" s="185"/>
      <c r="B727" s="185"/>
      <c r="C727" s="185"/>
      <c r="D727" s="185"/>
      <c r="E727" s="186"/>
      <c r="F727" s="186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</row>
    <row r="728" spans="1:26" ht="15.75" customHeight="1">
      <c r="A728" s="185"/>
      <c r="B728" s="185"/>
      <c r="C728" s="185"/>
      <c r="D728" s="185"/>
      <c r="E728" s="186"/>
      <c r="F728" s="186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</row>
    <row r="729" spans="1:26" ht="15.75" customHeight="1">
      <c r="A729" s="185"/>
      <c r="B729" s="185"/>
      <c r="C729" s="185"/>
      <c r="D729" s="185"/>
      <c r="E729" s="186"/>
      <c r="F729" s="186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</row>
    <row r="730" spans="1:26" ht="15.75" customHeight="1">
      <c r="A730" s="185"/>
      <c r="B730" s="185"/>
      <c r="C730" s="185"/>
      <c r="D730" s="185"/>
      <c r="E730" s="186"/>
      <c r="F730" s="186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</row>
    <row r="731" spans="1:26" ht="15.75" customHeight="1">
      <c r="A731" s="185"/>
      <c r="B731" s="185"/>
      <c r="C731" s="185"/>
      <c r="D731" s="185"/>
      <c r="E731" s="186"/>
      <c r="F731" s="186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</row>
    <row r="732" spans="1:26" ht="15.75" customHeight="1">
      <c r="A732" s="185"/>
      <c r="B732" s="185"/>
      <c r="C732" s="185"/>
      <c r="D732" s="185"/>
      <c r="E732" s="186"/>
      <c r="F732" s="186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</row>
    <row r="733" spans="1:26" ht="15.75" customHeight="1">
      <c r="A733" s="185"/>
      <c r="B733" s="185"/>
      <c r="C733" s="185"/>
      <c r="D733" s="185"/>
      <c r="E733" s="186"/>
      <c r="F733" s="186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</row>
    <row r="734" spans="1:26" ht="15.75" customHeight="1">
      <c r="A734" s="185"/>
      <c r="B734" s="185"/>
      <c r="C734" s="185"/>
      <c r="D734" s="185"/>
      <c r="E734" s="186"/>
      <c r="F734" s="186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</row>
    <row r="735" spans="1:26" ht="15.75" customHeight="1">
      <c r="A735" s="185"/>
      <c r="B735" s="185"/>
      <c r="C735" s="185"/>
      <c r="D735" s="185"/>
      <c r="E735" s="186"/>
      <c r="F735" s="186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</row>
    <row r="736" spans="1:26" ht="15.75" customHeight="1">
      <c r="A736" s="185"/>
      <c r="B736" s="185"/>
      <c r="C736" s="185"/>
      <c r="D736" s="185"/>
      <c r="E736" s="186"/>
      <c r="F736" s="186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</row>
    <row r="737" spans="1:26" ht="15.75" customHeight="1">
      <c r="A737" s="185"/>
      <c r="B737" s="185"/>
      <c r="C737" s="185"/>
      <c r="D737" s="185"/>
      <c r="E737" s="186"/>
      <c r="F737" s="186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</row>
    <row r="738" spans="1:26" ht="15.75" customHeight="1">
      <c r="A738" s="185"/>
      <c r="B738" s="185"/>
      <c r="C738" s="185"/>
      <c r="D738" s="185"/>
      <c r="E738" s="186"/>
      <c r="F738" s="186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</row>
    <row r="739" spans="1:26" ht="15.75" customHeight="1">
      <c r="A739" s="185"/>
      <c r="B739" s="185"/>
      <c r="C739" s="185"/>
      <c r="D739" s="185"/>
      <c r="E739" s="186"/>
      <c r="F739" s="186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</row>
    <row r="740" spans="1:26" ht="15.75" customHeight="1">
      <c r="A740" s="185"/>
      <c r="B740" s="185"/>
      <c r="C740" s="185"/>
      <c r="D740" s="185"/>
      <c r="E740" s="186"/>
      <c r="F740" s="186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</row>
    <row r="741" spans="1:26" ht="15.75" customHeight="1">
      <c r="A741" s="185"/>
      <c r="B741" s="185"/>
      <c r="C741" s="185"/>
      <c r="D741" s="185"/>
      <c r="E741" s="186"/>
      <c r="F741" s="186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</row>
    <row r="742" spans="1:26" ht="15.75" customHeight="1">
      <c r="A742" s="185"/>
      <c r="B742" s="185"/>
      <c r="C742" s="185"/>
      <c r="D742" s="185"/>
      <c r="E742" s="186"/>
      <c r="F742" s="186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</row>
    <row r="743" spans="1:26" ht="15.75" customHeight="1">
      <c r="A743" s="185"/>
      <c r="B743" s="185"/>
      <c r="C743" s="185"/>
      <c r="D743" s="185"/>
      <c r="E743" s="186"/>
      <c r="F743" s="186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</row>
    <row r="744" spans="1:26" ht="15.75" customHeight="1">
      <c r="A744" s="185"/>
      <c r="B744" s="185"/>
      <c r="C744" s="185"/>
      <c r="D744" s="185"/>
      <c r="E744" s="186"/>
      <c r="F744" s="186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</row>
    <row r="745" spans="1:26" ht="15.75" customHeight="1">
      <c r="A745" s="185"/>
      <c r="B745" s="185"/>
      <c r="C745" s="185"/>
      <c r="D745" s="185"/>
      <c r="E745" s="186"/>
      <c r="F745" s="186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</row>
    <row r="746" spans="1:26" ht="15.75" customHeight="1">
      <c r="A746" s="185"/>
      <c r="B746" s="185"/>
      <c r="C746" s="185"/>
      <c r="D746" s="185"/>
      <c r="E746" s="186"/>
      <c r="F746" s="186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</row>
    <row r="747" spans="1:26" ht="15.75" customHeight="1">
      <c r="A747" s="185"/>
      <c r="B747" s="185"/>
      <c r="C747" s="185"/>
      <c r="D747" s="185"/>
      <c r="E747" s="186"/>
      <c r="F747" s="186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</row>
    <row r="748" spans="1:26" ht="15.75" customHeight="1">
      <c r="A748" s="185"/>
      <c r="B748" s="185"/>
      <c r="C748" s="185"/>
      <c r="D748" s="185"/>
      <c r="E748" s="186"/>
      <c r="F748" s="186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</row>
    <row r="749" spans="1:26" ht="15.75" customHeight="1">
      <c r="A749" s="185"/>
      <c r="B749" s="185"/>
      <c r="C749" s="185"/>
      <c r="D749" s="185"/>
      <c r="E749" s="186"/>
      <c r="F749" s="186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</row>
    <row r="750" spans="1:26" ht="15.75" customHeight="1">
      <c r="A750" s="185"/>
      <c r="B750" s="185"/>
      <c r="C750" s="185"/>
      <c r="D750" s="185"/>
      <c r="E750" s="186"/>
      <c r="F750" s="186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</row>
    <row r="751" spans="1:26" ht="15.75" customHeight="1">
      <c r="A751" s="185"/>
      <c r="B751" s="185"/>
      <c r="C751" s="185"/>
      <c r="D751" s="185"/>
      <c r="E751" s="186"/>
      <c r="F751" s="186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</row>
    <row r="752" spans="1:26" ht="15.75" customHeight="1">
      <c r="A752" s="185"/>
      <c r="B752" s="185"/>
      <c r="C752" s="185"/>
      <c r="D752" s="185"/>
      <c r="E752" s="186"/>
      <c r="F752" s="186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</row>
    <row r="753" spans="1:26" ht="15.75" customHeight="1">
      <c r="A753" s="185"/>
      <c r="B753" s="185"/>
      <c r="C753" s="185"/>
      <c r="D753" s="185"/>
      <c r="E753" s="186"/>
      <c r="F753" s="186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</row>
    <row r="754" spans="1:26" ht="15.75" customHeight="1">
      <c r="A754" s="185"/>
      <c r="B754" s="185"/>
      <c r="C754" s="185"/>
      <c r="D754" s="185"/>
      <c r="E754" s="186"/>
      <c r="F754" s="186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</row>
    <row r="755" spans="1:26" ht="15.75" customHeight="1">
      <c r="A755" s="185"/>
      <c r="B755" s="185"/>
      <c r="C755" s="185"/>
      <c r="D755" s="185"/>
      <c r="E755" s="186"/>
      <c r="F755" s="186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</row>
    <row r="756" spans="1:26" ht="15.75" customHeight="1">
      <c r="A756" s="185"/>
      <c r="B756" s="185"/>
      <c r="C756" s="185"/>
      <c r="D756" s="185"/>
      <c r="E756" s="186"/>
      <c r="F756" s="186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</row>
    <row r="757" spans="1:26" ht="15.75" customHeight="1">
      <c r="A757" s="185"/>
      <c r="B757" s="185"/>
      <c r="C757" s="185"/>
      <c r="D757" s="185"/>
      <c r="E757" s="186"/>
      <c r="F757" s="186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</row>
    <row r="758" spans="1:26" ht="15.75" customHeight="1">
      <c r="A758" s="185"/>
      <c r="B758" s="185"/>
      <c r="C758" s="185"/>
      <c r="D758" s="185"/>
      <c r="E758" s="186"/>
      <c r="F758" s="186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</row>
    <row r="759" spans="1:26" ht="15.75" customHeight="1">
      <c r="A759" s="185"/>
      <c r="B759" s="185"/>
      <c r="C759" s="185"/>
      <c r="D759" s="185"/>
      <c r="E759" s="186"/>
      <c r="F759" s="186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</row>
    <row r="760" spans="1:26" ht="15.75" customHeight="1">
      <c r="A760" s="185"/>
      <c r="B760" s="185"/>
      <c r="C760" s="185"/>
      <c r="D760" s="185"/>
      <c r="E760" s="186"/>
      <c r="F760" s="186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</row>
    <row r="761" spans="1:26" ht="15.75" customHeight="1">
      <c r="A761" s="185"/>
      <c r="B761" s="185"/>
      <c r="C761" s="185"/>
      <c r="D761" s="185"/>
      <c r="E761" s="186"/>
      <c r="F761" s="186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</row>
    <row r="762" spans="1:26" ht="15.75" customHeight="1">
      <c r="A762" s="185"/>
      <c r="B762" s="185"/>
      <c r="C762" s="185"/>
      <c r="D762" s="185"/>
      <c r="E762" s="186"/>
      <c r="F762" s="186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</row>
    <row r="763" spans="1:26" ht="15.75" customHeight="1">
      <c r="A763" s="185"/>
      <c r="B763" s="185"/>
      <c r="C763" s="185"/>
      <c r="D763" s="185"/>
      <c r="E763" s="186"/>
      <c r="F763" s="186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</row>
    <row r="764" spans="1:26" ht="15.75" customHeight="1">
      <c r="A764" s="185"/>
      <c r="B764" s="185"/>
      <c r="C764" s="185"/>
      <c r="D764" s="185"/>
      <c r="E764" s="186"/>
      <c r="F764" s="186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</row>
    <row r="765" spans="1:26" ht="15.75" customHeight="1">
      <c r="A765" s="185"/>
      <c r="B765" s="185"/>
      <c r="C765" s="185"/>
      <c r="D765" s="185"/>
      <c r="E765" s="186"/>
      <c r="F765" s="186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</row>
    <row r="766" spans="1:26" ht="15.75" customHeight="1">
      <c r="A766" s="185"/>
      <c r="B766" s="185"/>
      <c r="C766" s="185"/>
      <c r="D766" s="185"/>
      <c r="E766" s="186"/>
      <c r="F766" s="186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</row>
    <row r="767" spans="1:26" ht="15.75" customHeight="1">
      <c r="A767" s="185"/>
      <c r="B767" s="185"/>
      <c r="C767" s="185"/>
      <c r="D767" s="185"/>
      <c r="E767" s="186"/>
      <c r="F767" s="186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</row>
    <row r="768" spans="1:26" ht="15.75" customHeight="1">
      <c r="A768" s="185"/>
      <c r="B768" s="185"/>
      <c r="C768" s="185"/>
      <c r="D768" s="185"/>
      <c r="E768" s="186"/>
      <c r="F768" s="186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</row>
    <row r="769" spans="1:26" ht="15.75" customHeight="1">
      <c r="A769" s="185"/>
      <c r="B769" s="185"/>
      <c r="C769" s="185"/>
      <c r="D769" s="185"/>
      <c r="E769" s="186"/>
      <c r="F769" s="186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</row>
    <row r="770" spans="1:26" ht="15.75" customHeight="1">
      <c r="A770" s="185"/>
      <c r="B770" s="185"/>
      <c r="C770" s="185"/>
      <c r="D770" s="185"/>
      <c r="E770" s="186"/>
      <c r="F770" s="186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</row>
    <row r="771" spans="1:26" ht="15.75" customHeight="1">
      <c r="A771" s="185"/>
      <c r="B771" s="185"/>
      <c r="C771" s="185"/>
      <c r="D771" s="185"/>
      <c r="E771" s="186"/>
      <c r="F771" s="186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</row>
    <row r="772" spans="1:26" ht="15.75" customHeight="1">
      <c r="A772" s="185"/>
      <c r="B772" s="185"/>
      <c r="C772" s="185"/>
      <c r="D772" s="185"/>
      <c r="E772" s="186"/>
      <c r="F772" s="186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</row>
    <row r="773" spans="1:26" ht="15.75" customHeight="1">
      <c r="A773" s="185"/>
      <c r="B773" s="185"/>
      <c r="C773" s="185"/>
      <c r="D773" s="185"/>
      <c r="E773" s="186"/>
      <c r="F773" s="186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</row>
    <row r="774" spans="1:26" ht="15.75" customHeight="1">
      <c r="A774" s="185"/>
      <c r="B774" s="185"/>
      <c r="C774" s="185"/>
      <c r="D774" s="185"/>
      <c r="E774" s="186"/>
      <c r="F774" s="186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</row>
    <row r="775" spans="1:26" ht="15.75" customHeight="1">
      <c r="A775" s="185"/>
      <c r="B775" s="185"/>
      <c r="C775" s="185"/>
      <c r="D775" s="185"/>
      <c r="E775" s="186"/>
      <c r="F775" s="186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</row>
    <row r="776" spans="1:26" ht="15.75" customHeight="1">
      <c r="A776" s="185"/>
      <c r="B776" s="185"/>
      <c r="C776" s="185"/>
      <c r="D776" s="185"/>
      <c r="E776" s="186"/>
      <c r="F776" s="186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</row>
    <row r="777" spans="1:26" ht="15.75" customHeight="1">
      <c r="A777" s="185"/>
      <c r="B777" s="185"/>
      <c r="C777" s="185"/>
      <c r="D777" s="185"/>
      <c r="E777" s="186"/>
      <c r="F777" s="186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</row>
    <row r="778" spans="1:26" ht="15.75" customHeight="1">
      <c r="A778" s="185"/>
      <c r="B778" s="185"/>
      <c r="C778" s="185"/>
      <c r="D778" s="185"/>
      <c r="E778" s="186"/>
      <c r="F778" s="186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</row>
    <row r="779" spans="1:26" ht="15.75" customHeight="1">
      <c r="A779" s="185"/>
      <c r="B779" s="185"/>
      <c r="C779" s="185"/>
      <c r="D779" s="185"/>
      <c r="E779" s="186"/>
      <c r="F779" s="186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</row>
    <row r="780" spans="1:26" ht="15.75" customHeight="1">
      <c r="A780" s="185"/>
      <c r="B780" s="185"/>
      <c r="C780" s="185"/>
      <c r="D780" s="185"/>
      <c r="E780" s="186"/>
      <c r="F780" s="186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</row>
    <row r="781" spans="1:26" ht="15.75" customHeight="1">
      <c r="A781" s="185"/>
      <c r="B781" s="185"/>
      <c r="C781" s="185"/>
      <c r="D781" s="185"/>
      <c r="E781" s="186"/>
      <c r="F781" s="186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</row>
    <row r="782" spans="1:26" ht="15.75" customHeight="1">
      <c r="A782" s="185"/>
      <c r="B782" s="185"/>
      <c r="C782" s="185"/>
      <c r="D782" s="185"/>
      <c r="E782" s="186"/>
      <c r="F782" s="186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</row>
    <row r="783" spans="1:26" ht="15.75" customHeight="1">
      <c r="A783" s="185"/>
      <c r="B783" s="185"/>
      <c r="C783" s="185"/>
      <c r="D783" s="185"/>
      <c r="E783" s="186"/>
      <c r="F783" s="186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</row>
    <row r="784" spans="1:26" ht="15.75" customHeight="1">
      <c r="A784" s="185"/>
      <c r="B784" s="185"/>
      <c r="C784" s="185"/>
      <c r="D784" s="185"/>
      <c r="E784" s="186"/>
      <c r="F784" s="186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</row>
    <row r="785" spans="1:26" ht="15.75" customHeight="1">
      <c r="A785" s="185"/>
      <c r="B785" s="185"/>
      <c r="C785" s="185"/>
      <c r="D785" s="185"/>
      <c r="E785" s="186"/>
      <c r="F785" s="186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</row>
    <row r="786" spans="1:26" ht="15.75" customHeight="1">
      <c r="A786" s="185"/>
      <c r="B786" s="185"/>
      <c r="C786" s="185"/>
      <c r="D786" s="185"/>
      <c r="E786" s="186"/>
      <c r="F786" s="186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</row>
    <row r="787" spans="1:26" ht="15.75" customHeight="1">
      <c r="A787" s="185"/>
      <c r="B787" s="185"/>
      <c r="C787" s="185"/>
      <c r="D787" s="185"/>
      <c r="E787" s="186"/>
      <c r="F787" s="186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</row>
    <row r="788" spans="1:26" ht="15.75" customHeight="1">
      <c r="A788" s="185"/>
      <c r="B788" s="185"/>
      <c r="C788" s="185"/>
      <c r="D788" s="185"/>
      <c r="E788" s="186"/>
      <c r="F788" s="186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</row>
    <row r="789" spans="1:26" ht="15.75" customHeight="1">
      <c r="A789" s="185"/>
      <c r="B789" s="185"/>
      <c r="C789" s="185"/>
      <c r="D789" s="185"/>
      <c r="E789" s="186"/>
      <c r="F789" s="186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</row>
    <row r="790" spans="1:26" ht="15.75" customHeight="1">
      <c r="A790" s="185"/>
      <c r="B790" s="185"/>
      <c r="C790" s="185"/>
      <c r="D790" s="185"/>
      <c r="E790" s="186"/>
      <c r="F790" s="186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</row>
    <row r="791" spans="1:26" ht="15.75" customHeight="1">
      <c r="A791" s="185"/>
      <c r="B791" s="185"/>
      <c r="C791" s="185"/>
      <c r="D791" s="185"/>
      <c r="E791" s="186"/>
      <c r="F791" s="186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</row>
    <row r="792" spans="1:26" ht="15.75" customHeight="1">
      <c r="A792" s="185"/>
      <c r="B792" s="185"/>
      <c r="C792" s="185"/>
      <c r="D792" s="185"/>
      <c r="E792" s="186"/>
      <c r="F792" s="186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</row>
    <row r="793" spans="1:26" ht="15.75" customHeight="1">
      <c r="A793" s="185"/>
      <c r="B793" s="185"/>
      <c r="C793" s="185"/>
      <c r="D793" s="185"/>
      <c r="E793" s="186"/>
      <c r="F793" s="186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</row>
    <row r="794" spans="1:26" ht="15.75" customHeight="1">
      <c r="A794" s="185"/>
      <c r="B794" s="185"/>
      <c r="C794" s="185"/>
      <c r="D794" s="185"/>
      <c r="E794" s="186"/>
      <c r="F794" s="186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</row>
    <row r="795" spans="1:26" ht="15.75" customHeight="1">
      <c r="A795" s="185"/>
      <c r="B795" s="185"/>
      <c r="C795" s="185"/>
      <c r="D795" s="185"/>
      <c r="E795" s="186"/>
      <c r="F795" s="186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</row>
    <row r="796" spans="1:26" ht="15.75" customHeight="1">
      <c r="A796" s="185"/>
      <c r="B796" s="185"/>
      <c r="C796" s="185"/>
      <c r="D796" s="185"/>
      <c r="E796" s="186"/>
      <c r="F796" s="186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</row>
    <row r="797" spans="1:26" ht="15.75" customHeight="1">
      <c r="A797" s="185"/>
      <c r="B797" s="185"/>
      <c r="C797" s="185"/>
      <c r="D797" s="185"/>
      <c r="E797" s="186"/>
      <c r="F797" s="186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</row>
    <row r="798" spans="1:26" ht="15.75" customHeight="1">
      <c r="A798" s="185"/>
      <c r="B798" s="185"/>
      <c r="C798" s="185"/>
      <c r="D798" s="185"/>
      <c r="E798" s="186"/>
      <c r="F798" s="186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</row>
    <row r="799" spans="1:26" ht="15.75" customHeight="1">
      <c r="A799" s="185"/>
      <c r="B799" s="185"/>
      <c r="C799" s="185"/>
      <c r="D799" s="185"/>
      <c r="E799" s="186"/>
      <c r="F799" s="186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</row>
    <row r="800" spans="1:26" ht="15.75" customHeight="1">
      <c r="A800" s="185"/>
      <c r="B800" s="185"/>
      <c r="C800" s="185"/>
      <c r="D800" s="185"/>
      <c r="E800" s="186"/>
      <c r="F800" s="186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</row>
    <row r="801" spans="1:26" ht="15.75" customHeight="1">
      <c r="A801" s="185"/>
      <c r="B801" s="185"/>
      <c r="C801" s="185"/>
      <c r="D801" s="185"/>
      <c r="E801" s="186"/>
      <c r="F801" s="186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</row>
    <row r="802" spans="1:26" ht="15.75" customHeight="1">
      <c r="A802" s="185"/>
      <c r="B802" s="185"/>
      <c r="C802" s="185"/>
      <c r="D802" s="185"/>
      <c r="E802" s="186"/>
      <c r="F802" s="186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</row>
    <row r="803" spans="1:26" ht="15.75" customHeight="1">
      <c r="A803" s="185"/>
      <c r="B803" s="185"/>
      <c r="C803" s="185"/>
      <c r="D803" s="185"/>
      <c r="E803" s="186"/>
      <c r="F803" s="186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</row>
    <row r="804" spans="1:26" ht="15.75" customHeight="1">
      <c r="A804" s="185"/>
      <c r="B804" s="185"/>
      <c r="C804" s="185"/>
      <c r="D804" s="185"/>
      <c r="E804" s="186"/>
      <c r="F804" s="186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</row>
    <row r="805" spans="1:26" ht="15.75" customHeight="1">
      <c r="A805" s="185"/>
      <c r="B805" s="185"/>
      <c r="C805" s="185"/>
      <c r="D805" s="185"/>
      <c r="E805" s="186"/>
      <c r="F805" s="186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</row>
    <row r="806" spans="1:26" ht="15.75" customHeight="1">
      <c r="A806" s="185"/>
      <c r="B806" s="185"/>
      <c r="C806" s="185"/>
      <c r="D806" s="185"/>
      <c r="E806" s="186"/>
      <c r="F806" s="186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</row>
    <row r="807" spans="1:26" ht="15.75" customHeight="1">
      <c r="A807" s="185"/>
      <c r="B807" s="185"/>
      <c r="C807" s="185"/>
      <c r="D807" s="185"/>
      <c r="E807" s="186"/>
      <c r="F807" s="186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</row>
    <row r="808" spans="1:26" ht="15.75" customHeight="1">
      <c r="A808" s="185"/>
      <c r="B808" s="185"/>
      <c r="C808" s="185"/>
      <c r="D808" s="185"/>
      <c r="E808" s="186"/>
      <c r="F808" s="186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</row>
    <row r="809" spans="1:26" ht="15.75" customHeight="1">
      <c r="A809" s="185"/>
      <c r="B809" s="185"/>
      <c r="C809" s="185"/>
      <c r="D809" s="185"/>
      <c r="E809" s="186"/>
      <c r="F809" s="186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</row>
    <row r="810" spans="1:26" ht="15.75" customHeight="1">
      <c r="A810" s="185"/>
      <c r="B810" s="185"/>
      <c r="C810" s="185"/>
      <c r="D810" s="185"/>
      <c r="E810" s="186"/>
      <c r="F810" s="186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</row>
    <row r="811" spans="1:26" ht="15.75" customHeight="1">
      <c r="A811" s="185"/>
      <c r="B811" s="185"/>
      <c r="C811" s="185"/>
      <c r="D811" s="185"/>
      <c r="E811" s="186"/>
      <c r="F811" s="186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</row>
    <row r="812" spans="1:26" ht="15.75" customHeight="1">
      <c r="A812" s="185"/>
      <c r="B812" s="185"/>
      <c r="C812" s="185"/>
      <c r="D812" s="185"/>
      <c r="E812" s="186"/>
      <c r="F812" s="186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</row>
    <row r="813" spans="1:26" ht="15.75" customHeight="1">
      <c r="A813" s="185"/>
      <c r="B813" s="185"/>
      <c r="C813" s="185"/>
      <c r="D813" s="185"/>
      <c r="E813" s="186"/>
      <c r="F813" s="186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</row>
    <row r="814" spans="1:26" ht="15.75" customHeight="1">
      <c r="A814" s="185"/>
      <c r="B814" s="185"/>
      <c r="C814" s="185"/>
      <c r="D814" s="185"/>
      <c r="E814" s="186"/>
      <c r="F814" s="186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</row>
    <row r="815" spans="1:26" ht="15.75" customHeight="1">
      <c r="A815" s="185"/>
      <c r="B815" s="185"/>
      <c r="C815" s="185"/>
      <c r="D815" s="185"/>
      <c r="E815" s="186"/>
      <c r="F815" s="186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</row>
    <row r="816" spans="1:26" ht="15.75" customHeight="1">
      <c r="A816" s="185"/>
      <c r="B816" s="185"/>
      <c r="C816" s="185"/>
      <c r="D816" s="185"/>
      <c r="E816" s="186"/>
      <c r="F816" s="186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</row>
    <row r="817" spans="1:26" ht="15.75" customHeight="1">
      <c r="A817" s="185"/>
      <c r="B817" s="185"/>
      <c r="C817" s="185"/>
      <c r="D817" s="185"/>
      <c r="E817" s="186"/>
      <c r="F817" s="186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</row>
    <row r="818" spans="1:26" ht="15.75" customHeight="1">
      <c r="A818" s="185"/>
      <c r="B818" s="185"/>
      <c r="C818" s="185"/>
      <c r="D818" s="185"/>
      <c r="E818" s="186"/>
      <c r="F818" s="186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</row>
    <row r="819" spans="1:26" ht="15.75" customHeight="1">
      <c r="A819" s="185"/>
      <c r="B819" s="185"/>
      <c r="C819" s="185"/>
      <c r="D819" s="185"/>
      <c r="E819" s="186"/>
      <c r="F819" s="186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</row>
    <row r="820" spans="1:26" ht="15.75" customHeight="1">
      <c r="A820" s="185"/>
      <c r="B820" s="185"/>
      <c r="C820" s="185"/>
      <c r="D820" s="185"/>
      <c r="E820" s="186"/>
      <c r="F820" s="186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</row>
    <row r="821" spans="1:26" ht="15.75" customHeight="1">
      <c r="A821" s="185"/>
      <c r="B821" s="185"/>
      <c r="C821" s="185"/>
      <c r="D821" s="185"/>
      <c r="E821" s="186"/>
      <c r="F821" s="186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</row>
    <row r="822" spans="1:26" ht="15.75" customHeight="1">
      <c r="A822" s="185"/>
      <c r="B822" s="185"/>
      <c r="C822" s="185"/>
      <c r="D822" s="185"/>
      <c r="E822" s="186"/>
      <c r="F822" s="186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</row>
    <row r="823" spans="1:26" ht="15.75" customHeight="1">
      <c r="A823" s="185"/>
      <c r="B823" s="185"/>
      <c r="C823" s="185"/>
      <c r="D823" s="185"/>
      <c r="E823" s="186"/>
      <c r="F823" s="186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</row>
    <row r="824" spans="1:26" ht="15.75" customHeight="1">
      <c r="A824" s="185"/>
      <c r="B824" s="185"/>
      <c r="C824" s="185"/>
      <c r="D824" s="185"/>
      <c r="E824" s="186"/>
      <c r="F824" s="186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</row>
    <row r="825" spans="1:26" ht="15.75" customHeight="1">
      <c r="A825" s="185"/>
      <c r="B825" s="185"/>
      <c r="C825" s="185"/>
      <c r="D825" s="185"/>
      <c r="E825" s="186"/>
      <c r="F825" s="186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</row>
    <row r="826" spans="1:26" ht="15.75" customHeight="1">
      <c r="A826" s="185"/>
      <c r="B826" s="185"/>
      <c r="C826" s="185"/>
      <c r="D826" s="185"/>
      <c r="E826" s="186"/>
      <c r="F826" s="186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</row>
    <row r="827" spans="1:26" ht="15.75" customHeight="1">
      <c r="A827" s="185"/>
      <c r="B827" s="185"/>
      <c r="C827" s="185"/>
      <c r="D827" s="185"/>
      <c r="E827" s="186"/>
      <c r="F827" s="186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</row>
    <row r="828" spans="1:26" ht="15.75" customHeight="1">
      <c r="A828" s="185"/>
      <c r="B828" s="185"/>
      <c r="C828" s="185"/>
      <c r="D828" s="185"/>
      <c r="E828" s="186"/>
      <c r="F828" s="186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</row>
    <row r="829" spans="1:26" ht="15.75" customHeight="1">
      <c r="A829" s="185"/>
      <c r="B829" s="185"/>
      <c r="C829" s="185"/>
      <c r="D829" s="185"/>
      <c r="E829" s="186"/>
      <c r="F829" s="186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</row>
    <row r="830" spans="1:26" ht="15.75" customHeight="1">
      <c r="A830" s="185"/>
      <c r="B830" s="185"/>
      <c r="C830" s="185"/>
      <c r="D830" s="185"/>
      <c r="E830" s="186"/>
      <c r="F830" s="186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</row>
    <row r="831" spans="1:26" ht="15.75" customHeight="1">
      <c r="A831" s="185"/>
      <c r="B831" s="185"/>
      <c r="C831" s="185"/>
      <c r="D831" s="185"/>
      <c r="E831" s="186"/>
      <c r="F831" s="186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</row>
    <row r="832" spans="1:26" ht="15.75" customHeight="1">
      <c r="A832" s="185"/>
      <c r="B832" s="185"/>
      <c r="C832" s="185"/>
      <c r="D832" s="185"/>
      <c r="E832" s="186"/>
      <c r="F832" s="186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</row>
    <row r="833" spans="1:26" ht="15.75" customHeight="1">
      <c r="A833" s="185"/>
      <c r="B833" s="185"/>
      <c r="C833" s="185"/>
      <c r="D833" s="185"/>
      <c r="E833" s="186"/>
      <c r="F833" s="186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</row>
    <row r="834" spans="1:26" ht="15.75" customHeight="1">
      <c r="A834" s="185"/>
      <c r="B834" s="185"/>
      <c r="C834" s="185"/>
      <c r="D834" s="185"/>
      <c r="E834" s="186"/>
      <c r="F834" s="186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</row>
    <row r="835" spans="1:26" ht="15.75" customHeight="1">
      <c r="A835" s="185"/>
      <c r="B835" s="185"/>
      <c r="C835" s="185"/>
      <c r="D835" s="185"/>
      <c r="E835" s="186"/>
      <c r="F835" s="186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</row>
    <row r="836" spans="1:26" ht="15.75" customHeight="1">
      <c r="A836" s="185"/>
      <c r="B836" s="185"/>
      <c r="C836" s="185"/>
      <c r="D836" s="185"/>
      <c r="E836" s="186"/>
      <c r="F836" s="186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</row>
    <row r="837" spans="1:26" ht="15.75" customHeight="1">
      <c r="A837" s="185"/>
      <c r="B837" s="185"/>
      <c r="C837" s="185"/>
      <c r="D837" s="185"/>
      <c r="E837" s="186"/>
      <c r="F837" s="186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</row>
    <row r="838" spans="1:26" ht="15.75" customHeight="1">
      <c r="A838" s="185"/>
      <c r="B838" s="185"/>
      <c r="C838" s="185"/>
      <c r="D838" s="185"/>
      <c r="E838" s="186"/>
      <c r="F838" s="186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</row>
    <row r="839" spans="1:26" ht="15.75" customHeight="1">
      <c r="A839" s="185"/>
      <c r="B839" s="185"/>
      <c r="C839" s="185"/>
      <c r="D839" s="185"/>
      <c r="E839" s="186"/>
      <c r="F839" s="186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</row>
    <row r="840" spans="1:26" ht="15.75" customHeight="1">
      <c r="A840" s="185"/>
      <c r="B840" s="185"/>
      <c r="C840" s="185"/>
      <c r="D840" s="185"/>
      <c r="E840" s="186"/>
      <c r="F840" s="186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</row>
    <row r="841" spans="1:26" ht="15.75" customHeight="1">
      <c r="A841" s="185"/>
      <c r="B841" s="185"/>
      <c r="C841" s="185"/>
      <c r="D841" s="185"/>
      <c r="E841" s="186"/>
      <c r="F841" s="186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</row>
    <row r="842" spans="1:26" ht="15.75" customHeight="1">
      <c r="A842" s="185"/>
      <c r="B842" s="185"/>
      <c r="C842" s="185"/>
      <c r="D842" s="185"/>
      <c r="E842" s="186"/>
      <c r="F842" s="186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</row>
    <row r="843" spans="1:26" ht="15.75" customHeight="1">
      <c r="A843" s="185"/>
      <c r="B843" s="185"/>
      <c r="C843" s="185"/>
      <c r="D843" s="185"/>
      <c r="E843" s="186"/>
      <c r="F843" s="186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</row>
    <row r="844" spans="1:26" ht="15.75" customHeight="1">
      <c r="A844" s="185"/>
      <c r="B844" s="185"/>
      <c r="C844" s="185"/>
      <c r="D844" s="185"/>
      <c r="E844" s="186"/>
      <c r="F844" s="186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</row>
    <row r="845" spans="1:26" ht="15.75" customHeight="1">
      <c r="A845" s="185"/>
      <c r="B845" s="185"/>
      <c r="C845" s="185"/>
      <c r="D845" s="185"/>
      <c r="E845" s="186"/>
      <c r="F845" s="186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</row>
    <row r="846" spans="1:26" ht="15.75" customHeight="1">
      <c r="A846" s="185"/>
      <c r="B846" s="185"/>
      <c r="C846" s="185"/>
      <c r="D846" s="185"/>
      <c r="E846" s="186"/>
      <c r="F846" s="186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</row>
    <row r="847" spans="1:26" ht="15.75" customHeight="1">
      <c r="A847" s="185"/>
      <c r="B847" s="185"/>
      <c r="C847" s="185"/>
      <c r="D847" s="185"/>
      <c r="E847" s="186"/>
      <c r="F847" s="186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</row>
    <row r="848" spans="1:26" ht="15.75" customHeight="1">
      <c r="A848" s="185"/>
      <c r="B848" s="185"/>
      <c r="C848" s="185"/>
      <c r="D848" s="185"/>
      <c r="E848" s="186"/>
      <c r="F848" s="186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</row>
    <row r="849" spans="1:26" ht="15.75" customHeight="1">
      <c r="A849" s="185"/>
      <c r="B849" s="185"/>
      <c r="C849" s="185"/>
      <c r="D849" s="185"/>
      <c r="E849" s="186"/>
      <c r="F849" s="186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</row>
    <row r="850" spans="1:26" ht="15.75" customHeight="1">
      <c r="A850" s="185"/>
      <c r="B850" s="185"/>
      <c r="C850" s="185"/>
      <c r="D850" s="185"/>
      <c r="E850" s="186"/>
      <c r="F850" s="186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</row>
    <row r="851" spans="1:26" ht="15.75" customHeight="1">
      <c r="A851" s="185"/>
      <c r="B851" s="185"/>
      <c r="C851" s="185"/>
      <c r="D851" s="185"/>
      <c r="E851" s="186"/>
      <c r="F851" s="186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</row>
    <row r="852" spans="1:26" ht="15.75" customHeight="1">
      <c r="A852" s="185"/>
      <c r="B852" s="185"/>
      <c r="C852" s="185"/>
      <c r="D852" s="185"/>
      <c r="E852" s="186"/>
      <c r="F852" s="186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</row>
    <row r="853" spans="1:26" ht="15.75" customHeight="1">
      <c r="A853" s="185"/>
      <c r="B853" s="185"/>
      <c r="C853" s="185"/>
      <c r="D853" s="185"/>
      <c r="E853" s="186"/>
      <c r="F853" s="186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</row>
    <row r="854" spans="1:26" ht="15.75" customHeight="1">
      <c r="A854" s="185"/>
      <c r="B854" s="185"/>
      <c r="C854" s="185"/>
      <c r="D854" s="185"/>
      <c r="E854" s="186"/>
      <c r="F854" s="186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</row>
    <row r="855" spans="1:26" ht="15.75" customHeight="1">
      <c r="A855" s="185"/>
      <c r="B855" s="185"/>
      <c r="C855" s="185"/>
      <c r="D855" s="185"/>
      <c r="E855" s="186"/>
      <c r="F855" s="186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</row>
    <row r="856" spans="1:26" ht="15.75" customHeight="1">
      <c r="A856" s="185"/>
      <c r="B856" s="185"/>
      <c r="C856" s="185"/>
      <c r="D856" s="185"/>
      <c r="E856" s="186"/>
      <c r="F856" s="186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</row>
    <row r="857" spans="1:26" ht="15.75" customHeight="1">
      <c r="A857" s="185"/>
      <c r="B857" s="185"/>
      <c r="C857" s="185"/>
      <c r="D857" s="185"/>
      <c r="E857" s="186"/>
      <c r="F857" s="186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</row>
    <row r="858" spans="1:26" ht="15.75" customHeight="1">
      <c r="A858" s="185"/>
      <c r="B858" s="185"/>
      <c r="C858" s="185"/>
      <c r="D858" s="185"/>
      <c r="E858" s="186"/>
      <c r="F858" s="186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</row>
    <row r="859" spans="1:26" ht="15.75" customHeight="1">
      <c r="A859" s="185"/>
      <c r="B859" s="185"/>
      <c r="C859" s="185"/>
      <c r="D859" s="185"/>
      <c r="E859" s="186"/>
      <c r="F859" s="186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</row>
    <row r="860" spans="1:26" ht="15.75" customHeight="1">
      <c r="A860" s="185"/>
      <c r="B860" s="185"/>
      <c r="C860" s="185"/>
      <c r="D860" s="185"/>
      <c r="E860" s="186"/>
      <c r="F860" s="186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</row>
    <row r="861" spans="1:26" ht="15.75" customHeight="1">
      <c r="A861" s="185"/>
      <c r="B861" s="185"/>
      <c r="C861" s="185"/>
      <c r="D861" s="185"/>
      <c r="E861" s="186"/>
      <c r="F861" s="186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</row>
    <row r="862" spans="1:26" ht="15.75" customHeight="1">
      <c r="A862" s="185"/>
      <c r="B862" s="185"/>
      <c r="C862" s="185"/>
      <c r="D862" s="185"/>
      <c r="E862" s="186"/>
      <c r="F862" s="186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</row>
    <row r="863" spans="1:26" ht="15.75" customHeight="1">
      <c r="A863" s="185"/>
      <c r="B863" s="185"/>
      <c r="C863" s="185"/>
      <c r="D863" s="185"/>
      <c r="E863" s="186"/>
      <c r="F863" s="186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</row>
    <row r="864" spans="1:26" ht="15.75" customHeight="1">
      <c r="A864" s="185"/>
      <c r="B864" s="185"/>
      <c r="C864" s="185"/>
      <c r="D864" s="185"/>
      <c r="E864" s="186"/>
      <c r="F864" s="186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</row>
    <row r="865" spans="1:26" ht="15.75" customHeight="1">
      <c r="A865" s="185"/>
      <c r="B865" s="185"/>
      <c r="C865" s="185"/>
      <c r="D865" s="185"/>
      <c r="E865" s="186"/>
      <c r="F865" s="186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</row>
    <row r="866" spans="1:26" ht="15.75" customHeight="1">
      <c r="A866" s="185"/>
      <c r="B866" s="185"/>
      <c r="C866" s="185"/>
      <c r="D866" s="185"/>
      <c r="E866" s="186"/>
      <c r="F866" s="186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</row>
    <row r="867" spans="1:26" ht="15.75" customHeight="1">
      <c r="A867" s="185"/>
      <c r="B867" s="185"/>
      <c r="C867" s="185"/>
      <c r="D867" s="185"/>
      <c r="E867" s="186"/>
      <c r="F867" s="186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</row>
    <row r="868" spans="1:26" ht="15.75" customHeight="1">
      <c r="A868" s="185"/>
      <c r="B868" s="185"/>
      <c r="C868" s="185"/>
      <c r="D868" s="185"/>
      <c r="E868" s="186"/>
      <c r="F868" s="186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</row>
    <row r="869" spans="1:26" ht="15.75" customHeight="1">
      <c r="A869" s="185"/>
      <c r="B869" s="185"/>
      <c r="C869" s="185"/>
      <c r="D869" s="185"/>
      <c r="E869" s="186"/>
      <c r="F869" s="186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</row>
    <row r="870" spans="1:26" ht="15.75" customHeight="1">
      <c r="A870" s="185"/>
      <c r="B870" s="185"/>
      <c r="C870" s="185"/>
      <c r="D870" s="185"/>
      <c r="E870" s="186"/>
      <c r="F870" s="186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</row>
    <row r="871" spans="1:26" ht="15.75" customHeight="1">
      <c r="A871" s="185"/>
      <c r="B871" s="185"/>
      <c r="C871" s="185"/>
      <c r="D871" s="185"/>
      <c r="E871" s="186"/>
      <c r="F871" s="186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</row>
    <row r="872" spans="1:26" ht="15.75" customHeight="1">
      <c r="A872" s="185"/>
      <c r="B872" s="185"/>
      <c r="C872" s="185"/>
      <c r="D872" s="185"/>
      <c r="E872" s="186"/>
      <c r="F872" s="186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</row>
    <row r="873" spans="1:26" ht="15.75" customHeight="1">
      <c r="A873" s="185"/>
      <c r="B873" s="185"/>
      <c r="C873" s="185"/>
      <c r="D873" s="185"/>
      <c r="E873" s="186"/>
      <c r="F873" s="186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</row>
    <row r="874" spans="1:26" ht="15.75" customHeight="1">
      <c r="A874" s="185"/>
      <c r="B874" s="185"/>
      <c r="C874" s="185"/>
      <c r="D874" s="185"/>
      <c r="E874" s="186"/>
      <c r="F874" s="186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</row>
    <row r="875" spans="1:26" ht="15.75" customHeight="1">
      <c r="A875" s="185"/>
      <c r="B875" s="185"/>
      <c r="C875" s="185"/>
      <c r="D875" s="185"/>
      <c r="E875" s="186"/>
      <c r="F875" s="186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</row>
    <row r="876" spans="1:26" ht="15.75" customHeight="1">
      <c r="A876" s="185"/>
      <c r="B876" s="185"/>
      <c r="C876" s="185"/>
      <c r="D876" s="185"/>
      <c r="E876" s="186"/>
      <c r="F876" s="186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</row>
    <row r="877" spans="1:26" ht="15.75" customHeight="1">
      <c r="A877" s="185"/>
      <c r="B877" s="185"/>
      <c r="C877" s="185"/>
      <c r="D877" s="185"/>
      <c r="E877" s="186"/>
      <c r="F877" s="186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</row>
    <row r="878" spans="1:26" ht="15.75" customHeight="1">
      <c r="A878" s="185"/>
      <c r="B878" s="185"/>
      <c r="C878" s="185"/>
      <c r="D878" s="185"/>
      <c r="E878" s="186"/>
      <c r="F878" s="186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</row>
    <row r="879" spans="1:26" ht="15.75" customHeight="1">
      <c r="A879" s="185"/>
      <c r="B879" s="185"/>
      <c r="C879" s="185"/>
      <c r="D879" s="185"/>
      <c r="E879" s="186"/>
      <c r="F879" s="186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</row>
    <row r="880" spans="1:26" ht="15.75" customHeight="1">
      <c r="A880" s="185"/>
      <c r="B880" s="185"/>
      <c r="C880" s="185"/>
      <c r="D880" s="185"/>
      <c r="E880" s="186"/>
      <c r="F880" s="186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</row>
    <row r="881" spans="1:26" ht="15.75" customHeight="1">
      <c r="A881" s="185"/>
      <c r="B881" s="185"/>
      <c r="C881" s="185"/>
      <c r="D881" s="185"/>
      <c r="E881" s="186"/>
      <c r="F881" s="186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</row>
    <row r="882" spans="1:26" ht="15.75" customHeight="1">
      <c r="A882" s="185"/>
      <c r="B882" s="185"/>
      <c r="C882" s="185"/>
      <c r="D882" s="185"/>
      <c r="E882" s="186"/>
      <c r="F882" s="186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</row>
    <row r="883" spans="1:26" ht="15.75" customHeight="1">
      <c r="A883" s="185"/>
      <c r="B883" s="185"/>
      <c r="C883" s="185"/>
      <c r="D883" s="185"/>
      <c r="E883" s="186"/>
      <c r="F883" s="186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</row>
    <row r="884" spans="1:26" ht="15.75" customHeight="1">
      <c r="A884" s="185"/>
      <c r="B884" s="185"/>
      <c r="C884" s="185"/>
      <c r="D884" s="185"/>
      <c r="E884" s="186"/>
      <c r="F884" s="186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</row>
    <row r="885" spans="1:26" ht="15.75" customHeight="1">
      <c r="A885" s="185"/>
      <c r="B885" s="185"/>
      <c r="C885" s="185"/>
      <c r="D885" s="185"/>
      <c r="E885" s="186"/>
      <c r="F885" s="186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</row>
    <row r="886" spans="1:26" ht="15.75" customHeight="1">
      <c r="A886" s="185"/>
      <c r="B886" s="185"/>
      <c r="C886" s="185"/>
      <c r="D886" s="185"/>
      <c r="E886" s="186"/>
      <c r="F886" s="186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</row>
    <row r="887" spans="1:26" ht="15.75" customHeight="1">
      <c r="A887" s="185"/>
      <c r="B887" s="185"/>
      <c r="C887" s="185"/>
      <c r="D887" s="185"/>
      <c r="E887" s="186"/>
      <c r="F887" s="186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</row>
    <row r="888" spans="1:26" ht="15.75" customHeight="1">
      <c r="A888" s="185"/>
      <c r="B888" s="185"/>
      <c r="C888" s="185"/>
      <c r="D888" s="185"/>
      <c r="E888" s="186"/>
      <c r="F888" s="186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</row>
    <row r="889" spans="1:26" ht="15.75" customHeight="1">
      <c r="A889" s="185"/>
      <c r="B889" s="185"/>
      <c r="C889" s="185"/>
      <c r="D889" s="185"/>
      <c r="E889" s="186"/>
      <c r="F889" s="186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</row>
    <row r="890" spans="1:26" ht="15.75" customHeight="1">
      <c r="A890" s="185"/>
      <c r="B890" s="185"/>
      <c r="C890" s="185"/>
      <c r="D890" s="185"/>
      <c r="E890" s="186"/>
      <c r="F890" s="186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</row>
    <row r="891" spans="1:26" ht="15.75" customHeight="1">
      <c r="A891" s="185"/>
      <c r="B891" s="185"/>
      <c r="C891" s="185"/>
      <c r="D891" s="185"/>
      <c r="E891" s="186"/>
      <c r="F891" s="186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</row>
    <row r="892" spans="1:26" ht="15.75" customHeight="1">
      <c r="A892" s="185"/>
      <c r="B892" s="185"/>
      <c r="C892" s="185"/>
      <c r="D892" s="185"/>
      <c r="E892" s="186"/>
      <c r="F892" s="186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</row>
    <row r="893" spans="1:26" ht="15.75" customHeight="1">
      <c r="A893" s="185"/>
      <c r="B893" s="185"/>
      <c r="C893" s="185"/>
      <c r="D893" s="185"/>
      <c r="E893" s="186"/>
      <c r="F893" s="186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</row>
    <row r="894" spans="1:26" ht="15.75" customHeight="1">
      <c r="A894" s="185"/>
      <c r="B894" s="185"/>
      <c r="C894" s="185"/>
      <c r="D894" s="185"/>
      <c r="E894" s="186"/>
      <c r="F894" s="186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</row>
    <row r="895" spans="1:26" ht="15.75" customHeight="1">
      <c r="A895" s="185"/>
      <c r="B895" s="185"/>
      <c r="C895" s="185"/>
      <c r="D895" s="185"/>
      <c r="E895" s="186"/>
      <c r="F895" s="186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</row>
    <row r="896" spans="1:26" ht="15.75" customHeight="1">
      <c r="A896" s="185"/>
      <c r="B896" s="185"/>
      <c r="C896" s="185"/>
      <c r="D896" s="185"/>
      <c r="E896" s="186"/>
      <c r="F896" s="186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</row>
    <row r="897" spans="1:26" ht="15.75" customHeight="1">
      <c r="A897" s="185"/>
      <c r="B897" s="185"/>
      <c r="C897" s="185"/>
      <c r="D897" s="185"/>
      <c r="E897" s="186"/>
      <c r="F897" s="186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</row>
    <row r="898" spans="1:26" ht="15.75" customHeight="1">
      <c r="A898" s="185"/>
      <c r="B898" s="185"/>
      <c r="C898" s="185"/>
      <c r="D898" s="185"/>
      <c r="E898" s="186"/>
      <c r="F898" s="186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</row>
    <row r="899" spans="1:26" ht="15.75" customHeight="1">
      <c r="A899" s="185"/>
      <c r="B899" s="185"/>
      <c r="C899" s="185"/>
      <c r="D899" s="185"/>
      <c r="E899" s="186"/>
      <c r="F899" s="186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</row>
    <row r="900" spans="1:26" ht="15.75" customHeight="1">
      <c r="A900" s="185"/>
      <c r="B900" s="185"/>
      <c r="C900" s="185"/>
      <c r="D900" s="185"/>
      <c r="E900" s="186"/>
      <c r="F900" s="186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</row>
    <row r="901" spans="1:26" ht="15.75" customHeight="1">
      <c r="A901" s="185"/>
      <c r="B901" s="185"/>
      <c r="C901" s="185"/>
      <c r="D901" s="185"/>
      <c r="E901" s="186"/>
      <c r="F901" s="186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</row>
    <row r="902" spans="1:26" ht="15.75" customHeight="1">
      <c r="A902" s="185"/>
      <c r="B902" s="185"/>
      <c r="C902" s="185"/>
      <c r="D902" s="185"/>
      <c r="E902" s="186"/>
      <c r="F902" s="186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</row>
    <row r="903" spans="1:26" ht="15.75" customHeight="1">
      <c r="A903" s="185"/>
      <c r="B903" s="185"/>
      <c r="C903" s="185"/>
      <c r="D903" s="185"/>
      <c r="E903" s="186"/>
      <c r="F903" s="186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</row>
    <row r="904" spans="1:26" ht="15.75" customHeight="1">
      <c r="A904" s="185"/>
      <c r="B904" s="185"/>
      <c r="C904" s="185"/>
      <c r="D904" s="185"/>
      <c r="E904" s="186"/>
      <c r="F904" s="186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</row>
    <row r="905" spans="1:26" ht="15.75" customHeight="1">
      <c r="A905" s="185"/>
      <c r="B905" s="185"/>
      <c r="C905" s="185"/>
      <c r="D905" s="185"/>
      <c r="E905" s="186"/>
      <c r="F905" s="186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</row>
    <row r="906" spans="1:26" ht="15.75" customHeight="1">
      <c r="A906" s="185"/>
      <c r="B906" s="185"/>
      <c r="C906" s="185"/>
      <c r="D906" s="185"/>
      <c r="E906" s="186"/>
      <c r="F906" s="186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</row>
    <row r="907" spans="1:26" ht="15.75" customHeight="1">
      <c r="A907" s="185"/>
      <c r="B907" s="185"/>
      <c r="C907" s="185"/>
      <c r="D907" s="185"/>
      <c r="E907" s="186"/>
      <c r="F907" s="186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</row>
    <row r="908" spans="1:26" ht="15.75" customHeight="1">
      <c r="A908" s="185"/>
      <c r="B908" s="185"/>
      <c r="C908" s="185"/>
      <c r="D908" s="185"/>
      <c r="E908" s="186"/>
      <c r="F908" s="186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</row>
    <row r="909" spans="1:26" ht="15.75" customHeight="1">
      <c r="A909" s="185"/>
      <c r="B909" s="185"/>
      <c r="C909" s="185"/>
      <c r="D909" s="185"/>
      <c r="E909" s="186"/>
      <c r="F909" s="186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</row>
    <row r="910" spans="1:26" ht="15.75" customHeight="1">
      <c r="A910" s="185"/>
      <c r="B910" s="185"/>
      <c r="C910" s="185"/>
      <c r="D910" s="185"/>
      <c r="E910" s="186"/>
      <c r="F910" s="186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</row>
    <row r="911" spans="1:26" ht="15.75" customHeight="1">
      <c r="A911" s="185"/>
      <c r="B911" s="185"/>
      <c r="C911" s="185"/>
      <c r="D911" s="185"/>
      <c r="E911" s="186"/>
      <c r="F911" s="186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</row>
    <row r="912" spans="1:26" ht="15.75" customHeight="1">
      <c r="A912" s="185"/>
      <c r="B912" s="185"/>
      <c r="C912" s="185"/>
      <c r="D912" s="185"/>
      <c r="E912" s="186"/>
      <c r="F912" s="186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</row>
    <row r="913" spans="1:26" ht="15.75" customHeight="1">
      <c r="A913" s="185"/>
      <c r="B913" s="185"/>
      <c r="C913" s="185"/>
      <c r="D913" s="185"/>
      <c r="E913" s="186"/>
      <c r="F913" s="186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</row>
    <row r="914" spans="1:26" ht="15.75" customHeight="1">
      <c r="A914" s="185"/>
      <c r="B914" s="185"/>
      <c r="C914" s="185"/>
      <c r="D914" s="185"/>
      <c r="E914" s="186"/>
      <c r="F914" s="186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</row>
    <row r="915" spans="1:26" ht="15.75" customHeight="1">
      <c r="A915" s="185"/>
      <c r="B915" s="185"/>
      <c r="C915" s="185"/>
      <c r="D915" s="185"/>
      <c r="E915" s="186"/>
      <c r="F915" s="186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</row>
    <row r="916" spans="1:26" ht="15.75" customHeight="1">
      <c r="A916" s="185"/>
      <c r="B916" s="185"/>
      <c r="C916" s="185"/>
      <c r="D916" s="185"/>
      <c r="E916" s="186"/>
      <c r="F916" s="186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</row>
    <row r="917" spans="1:26" ht="15.75" customHeight="1">
      <c r="A917" s="185"/>
      <c r="B917" s="185"/>
      <c r="C917" s="185"/>
      <c r="D917" s="185"/>
      <c r="E917" s="186"/>
      <c r="F917" s="186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</row>
    <row r="918" spans="1:26" ht="15.75" customHeight="1">
      <c r="A918" s="185"/>
      <c r="B918" s="185"/>
      <c r="C918" s="185"/>
      <c r="D918" s="185"/>
      <c r="E918" s="186"/>
      <c r="F918" s="186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</row>
    <row r="919" spans="1:26" ht="15.75" customHeight="1">
      <c r="A919" s="185"/>
      <c r="B919" s="185"/>
      <c r="C919" s="185"/>
      <c r="D919" s="185"/>
      <c r="E919" s="186"/>
      <c r="F919" s="186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</row>
    <row r="920" spans="1:26" ht="15.75" customHeight="1">
      <c r="A920" s="185"/>
      <c r="B920" s="185"/>
      <c r="C920" s="185"/>
      <c r="D920" s="185"/>
      <c r="E920" s="186"/>
      <c r="F920" s="186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</row>
    <row r="921" spans="1:26" ht="15.75" customHeight="1">
      <c r="A921" s="185"/>
      <c r="B921" s="185"/>
      <c r="C921" s="185"/>
      <c r="D921" s="185"/>
      <c r="E921" s="186"/>
      <c r="F921" s="186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</row>
    <row r="922" spans="1:26" ht="15.75" customHeight="1">
      <c r="A922" s="185"/>
      <c r="B922" s="185"/>
      <c r="C922" s="185"/>
      <c r="D922" s="185"/>
      <c r="E922" s="186"/>
      <c r="F922" s="186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</row>
    <row r="923" spans="1:26" ht="15.75" customHeight="1">
      <c r="A923" s="185"/>
      <c r="B923" s="185"/>
      <c r="C923" s="185"/>
      <c r="D923" s="185"/>
      <c r="E923" s="186"/>
      <c r="F923" s="186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</row>
    <row r="924" spans="1:26" ht="15.75" customHeight="1">
      <c r="A924" s="185"/>
      <c r="B924" s="185"/>
      <c r="C924" s="185"/>
      <c r="D924" s="185"/>
      <c r="E924" s="186"/>
      <c r="F924" s="186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</row>
    <row r="925" spans="1:26" ht="15.75" customHeight="1">
      <c r="A925" s="185"/>
      <c r="B925" s="185"/>
      <c r="C925" s="185"/>
      <c r="D925" s="185"/>
      <c r="E925" s="186"/>
      <c r="F925" s="186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</row>
    <row r="926" spans="1:26" ht="15.75" customHeight="1">
      <c r="A926" s="185"/>
      <c r="B926" s="185"/>
      <c r="C926" s="185"/>
      <c r="D926" s="185"/>
      <c r="E926" s="186"/>
      <c r="F926" s="186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</row>
    <row r="927" spans="1:26" ht="15.75" customHeight="1">
      <c r="A927" s="185"/>
      <c r="B927" s="185"/>
      <c r="C927" s="185"/>
      <c r="D927" s="185"/>
      <c r="E927" s="186"/>
      <c r="F927" s="186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</row>
    <row r="928" spans="1:26" ht="15.75" customHeight="1">
      <c r="A928" s="185"/>
      <c r="B928" s="185"/>
      <c r="C928" s="185"/>
      <c r="D928" s="185"/>
      <c r="E928" s="186"/>
      <c r="F928" s="186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</row>
    <row r="929" spans="1:26" ht="15.75" customHeight="1">
      <c r="A929" s="185"/>
      <c r="B929" s="185"/>
      <c r="C929" s="185"/>
      <c r="D929" s="185"/>
      <c r="E929" s="186"/>
      <c r="F929" s="186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</row>
    <row r="930" spans="1:26" ht="15.75" customHeight="1">
      <c r="A930" s="185"/>
      <c r="B930" s="185"/>
      <c r="C930" s="185"/>
      <c r="D930" s="185"/>
      <c r="E930" s="186"/>
      <c r="F930" s="186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</row>
    <row r="931" spans="1:26" ht="15.75" customHeight="1">
      <c r="A931" s="185"/>
      <c r="B931" s="185"/>
      <c r="C931" s="185"/>
      <c r="D931" s="185"/>
      <c r="E931" s="186"/>
      <c r="F931" s="186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</row>
    <row r="932" spans="1:26" ht="15.75" customHeight="1">
      <c r="A932" s="185"/>
      <c r="B932" s="185"/>
      <c r="C932" s="185"/>
      <c r="D932" s="185"/>
      <c r="E932" s="186"/>
      <c r="F932" s="186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</row>
    <row r="933" spans="1:26" ht="15.75" customHeight="1">
      <c r="A933" s="185"/>
      <c r="B933" s="185"/>
      <c r="C933" s="185"/>
      <c r="D933" s="185"/>
      <c r="E933" s="186"/>
      <c r="F933" s="186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</row>
    <row r="934" spans="1:26" ht="15.75" customHeight="1">
      <c r="A934" s="185"/>
      <c r="B934" s="185"/>
      <c r="C934" s="185"/>
      <c r="D934" s="185"/>
      <c r="E934" s="186"/>
      <c r="F934" s="186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</row>
    <row r="935" spans="1:26" ht="15.75" customHeight="1">
      <c r="A935" s="185"/>
      <c r="B935" s="185"/>
      <c r="C935" s="185"/>
      <c r="D935" s="185"/>
      <c r="E935" s="186"/>
      <c r="F935" s="186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</row>
    <row r="936" spans="1:26" ht="15.75" customHeight="1">
      <c r="A936" s="185"/>
      <c r="B936" s="185"/>
      <c r="C936" s="185"/>
      <c r="D936" s="185"/>
      <c r="E936" s="186"/>
      <c r="F936" s="186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</row>
    <row r="937" spans="1:26" ht="15.75" customHeight="1">
      <c r="A937" s="185"/>
      <c r="B937" s="185"/>
      <c r="C937" s="185"/>
      <c r="D937" s="185"/>
      <c r="E937" s="186"/>
      <c r="F937" s="186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</row>
    <row r="938" spans="1:26" ht="15.75" customHeight="1">
      <c r="A938" s="185"/>
      <c r="B938" s="185"/>
      <c r="C938" s="185"/>
      <c r="D938" s="185"/>
      <c r="E938" s="186"/>
      <c r="F938" s="186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</row>
    <row r="939" spans="1:26" ht="15.75" customHeight="1">
      <c r="A939" s="185"/>
      <c r="B939" s="185"/>
      <c r="C939" s="185"/>
      <c r="D939" s="185"/>
      <c r="E939" s="186"/>
      <c r="F939" s="186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</row>
    <row r="940" spans="1:26" ht="15.75" customHeight="1">
      <c r="A940" s="185"/>
      <c r="B940" s="185"/>
      <c r="C940" s="185"/>
      <c r="D940" s="185"/>
      <c r="E940" s="186"/>
      <c r="F940" s="186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</row>
    <row r="941" spans="1:26" ht="15.75" customHeight="1">
      <c r="A941" s="185"/>
      <c r="B941" s="185"/>
      <c r="C941" s="185"/>
      <c r="D941" s="185"/>
      <c r="E941" s="186"/>
      <c r="F941" s="186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</row>
    <row r="942" spans="1:26" ht="15.75" customHeight="1">
      <c r="A942" s="185"/>
      <c r="B942" s="185"/>
      <c r="C942" s="185"/>
      <c r="D942" s="185"/>
      <c r="E942" s="186"/>
      <c r="F942" s="186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</row>
    <row r="943" spans="1:26" ht="15.75" customHeight="1">
      <c r="A943" s="185"/>
      <c r="B943" s="185"/>
      <c r="C943" s="185"/>
      <c r="D943" s="185"/>
      <c r="E943" s="186"/>
      <c r="F943" s="186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</row>
    <row r="944" spans="1:26" ht="15.75" customHeight="1">
      <c r="A944" s="185"/>
      <c r="B944" s="185"/>
      <c r="C944" s="185"/>
      <c r="D944" s="185"/>
      <c r="E944" s="186"/>
      <c r="F944" s="186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</row>
    <row r="945" spans="1:26" ht="15.75" customHeight="1">
      <c r="A945" s="185"/>
      <c r="B945" s="185"/>
      <c r="C945" s="185"/>
      <c r="D945" s="185"/>
      <c r="E945" s="186"/>
      <c r="F945" s="186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</row>
    <row r="946" spans="1:26" ht="15.75" customHeight="1">
      <c r="A946" s="185"/>
      <c r="B946" s="185"/>
      <c r="C946" s="185"/>
      <c r="D946" s="185"/>
      <c r="E946" s="186"/>
      <c r="F946" s="186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</row>
    <row r="947" spans="1:26" ht="15.75" customHeight="1">
      <c r="A947" s="185"/>
      <c r="B947" s="185"/>
      <c r="C947" s="185"/>
      <c r="D947" s="185"/>
      <c r="E947" s="186"/>
      <c r="F947" s="186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</row>
    <row r="948" spans="1:26" ht="15.75" customHeight="1">
      <c r="A948" s="185"/>
      <c r="B948" s="185"/>
      <c r="C948" s="185"/>
      <c r="D948" s="185"/>
      <c r="E948" s="186"/>
      <c r="F948" s="186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</row>
    <row r="949" spans="1:26" ht="15.75" customHeight="1">
      <c r="A949" s="185"/>
      <c r="B949" s="185"/>
      <c r="C949" s="185"/>
      <c r="D949" s="185"/>
      <c r="E949" s="186"/>
      <c r="F949" s="186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</row>
    <row r="950" spans="1:26" ht="15.75" customHeight="1">
      <c r="A950" s="185"/>
      <c r="B950" s="185"/>
      <c r="C950" s="185"/>
      <c r="D950" s="185"/>
      <c r="E950" s="186"/>
      <c r="F950" s="186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</row>
    <row r="951" spans="1:26" ht="15.75" customHeight="1">
      <c r="A951" s="185"/>
      <c r="B951" s="185"/>
      <c r="C951" s="185"/>
      <c r="D951" s="185"/>
      <c r="E951" s="186"/>
      <c r="F951" s="186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</row>
    <row r="952" spans="1:26" ht="15.75" customHeight="1">
      <c r="A952" s="185"/>
      <c r="B952" s="185"/>
      <c r="C952" s="185"/>
      <c r="D952" s="185"/>
      <c r="E952" s="186"/>
      <c r="F952" s="186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</row>
    <row r="953" spans="1:26" ht="15.75" customHeight="1">
      <c r="A953" s="185"/>
      <c r="B953" s="185"/>
      <c r="C953" s="185"/>
      <c r="D953" s="185"/>
      <c r="E953" s="186"/>
      <c r="F953" s="186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</row>
    <row r="954" spans="1:26" ht="15.75" customHeight="1">
      <c r="A954" s="185"/>
      <c r="B954" s="185"/>
      <c r="C954" s="185"/>
      <c r="D954" s="185"/>
      <c r="E954" s="186"/>
      <c r="F954" s="186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</row>
    <row r="955" spans="1:26" ht="15.75" customHeight="1">
      <c r="A955" s="185"/>
      <c r="B955" s="185"/>
      <c r="C955" s="185"/>
      <c r="D955" s="185"/>
      <c r="E955" s="186"/>
      <c r="F955" s="186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</row>
    <row r="956" spans="1:26" ht="15.75" customHeight="1">
      <c r="A956" s="185"/>
      <c r="B956" s="185"/>
      <c r="C956" s="185"/>
      <c r="D956" s="185"/>
      <c r="E956" s="186"/>
      <c r="F956" s="186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</row>
    <row r="957" spans="1:26" ht="15.75" customHeight="1">
      <c r="A957" s="185"/>
      <c r="B957" s="185"/>
      <c r="C957" s="185"/>
      <c r="D957" s="185"/>
      <c r="E957" s="186"/>
      <c r="F957" s="186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</row>
    <row r="958" spans="1:26" ht="15.75" customHeight="1">
      <c r="A958" s="185"/>
      <c r="B958" s="185"/>
      <c r="C958" s="185"/>
      <c r="D958" s="185"/>
      <c r="E958" s="186"/>
      <c r="F958" s="186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</row>
    <row r="959" spans="1:26" ht="15.75" customHeight="1">
      <c r="A959" s="185"/>
      <c r="B959" s="185"/>
      <c r="C959" s="185"/>
      <c r="D959" s="185"/>
      <c r="E959" s="186"/>
      <c r="F959" s="186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</row>
    <row r="960" spans="1:26" ht="15.75" customHeight="1">
      <c r="A960" s="185"/>
      <c r="B960" s="185"/>
      <c r="C960" s="185"/>
      <c r="D960" s="185"/>
      <c r="E960" s="186"/>
      <c r="F960" s="186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</row>
    <row r="961" spans="1:26" ht="15.75" customHeight="1">
      <c r="A961" s="185"/>
      <c r="B961" s="185"/>
      <c r="C961" s="185"/>
      <c r="D961" s="185"/>
      <c r="E961" s="186"/>
      <c r="F961" s="186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</row>
    <row r="962" spans="1:26" ht="15.75" customHeight="1">
      <c r="A962" s="185"/>
      <c r="B962" s="185"/>
      <c r="C962" s="185"/>
      <c r="D962" s="185"/>
      <c r="E962" s="186"/>
      <c r="F962" s="186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</row>
    <row r="963" spans="1:26" ht="15.75" customHeight="1">
      <c r="A963" s="185"/>
      <c r="B963" s="185"/>
      <c r="C963" s="185"/>
      <c r="D963" s="185"/>
      <c r="E963" s="186"/>
      <c r="F963" s="186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</row>
    <row r="964" spans="1:26" ht="15.75" customHeight="1">
      <c r="A964" s="185"/>
      <c r="B964" s="185"/>
      <c r="C964" s="185"/>
      <c r="D964" s="185"/>
      <c r="E964" s="186"/>
      <c r="F964" s="186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</row>
    <row r="965" spans="1:26" ht="15.75" customHeight="1">
      <c r="A965" s="185"/>
      <c r="B965" s="185"/>
      <c r="C965" s="185"/>
      <c r="D965" s="185"/>
      <c r="E965" s="186"/>
      <c r="F965" s="186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</row>
    <row r="966" spans="1:26" ht="15.75" customHeight="1">
      <c r="A966" s="185"/>
      <c r="B966" s="185"/>
      <c r="C966" s="185"/>
      <c r="D966" s="185"/>
      <c r="E966" s="186"/>
      <c r="F966" s="186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</row>
    <row r="967" spans="1:26" ht="15.75" customHeight="1">
      <c r="A967" s="185"/>
      <c r="B967" s="185"/>
      <c r="C967" s="185"/>
      <c r="D967" s="185"/>
      <c r="E967" s="186"/>
      <c r="F967" s="186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</row>
    <row r="968" spans="1:26" ht="15.75" customHeight="1">
      <c r="A968" s="185"/>
      <c r="B968" s="185"/>
      <c r="C968" s="185"/>
      <c r="D968" s="185"/>
      <c r="E968" s="186"/>
      <c r="F968" s="186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</row>
    <row r="969" spans="1:26" ht="15.75" customHeight="1">
      <c r="A969" s="185"/>
      <c r="B969" s="185"/>
      <c r="C969" s="185"/>
      <c r="D969" s="185"/>
      <c r="E969" s="186"/>
      <c r="F969" s="186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</row>
    <row r="970" spans="1:26" ht="15.75" customHeight="1">
      <c r="A970" s="185"/>
      <c r="B970" s="185"/>
      <c r="C970" s="185"/>
      <c r="D970" s="185"/>
      <c r="E970" s="186"/>
      <c r="F970" s="186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</row>
    <row r="971" spans="1:26" ht="15.75" customHeight="1">
      <c r="A971" s="185"/>
      <c r="B971" s="185"/>
      <c r="C971" s="185"/>
      <c r="D971" s="185"/>
      <c r="E971" s="186"/>
      <c r="F971" s="186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</row>
    <row r="972" spans="1:26" ht="15.75" customHeight="1">
      <c r="A972" s="185"/>
      <c r="B972" s="185"/>
      <c r="C972" s="185"/>
      <c r="D972" s="185"/>
      <c r="E972" s="186"/>
      <c r="F972" s="186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</row>
    <row r="973" spans="1:26" ht="15.75" customHeight="1">
      <c r="A973" s="185"/>
      <c r="B973" s="185"/>
      <c r="C973" s="185"/>
      <c r="D973" s="185"/>
      <c r="E973" s="186"/>
      <c r="F973" s="186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</row>
    <row r="974" spans="1:26" ht="15.75" customHeight="1">
      <c r="A974" s="185"/>
      <c r="B974" s="185"/>
      <c r="C974" s="185"/>
      <c r="D974" s="185"/>
      <c r="E974" s="186"/>
      <c r="F974" s="186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</row>
    <row r="975" spans="1:26" ht="15.75" customHeight="1">
      <c r="A975" s="185"/>
      <c r="B975" s="185"/>
      <c r="C975" s="185"/>
      <c r="D975" s="185"/>
      <c r="E975" s="186"/>
      <c r="F975" s="186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</row>
    <row r="976" spans="1:26" ht="15.75" customHeight="1">
      <c r="A976" s="185"/>
      <c r="B976" s="185"/>
      <c r="C976" s="185"/>
      <c r="D976" s="185"/>
      <c r="E976" s="186"/>
      <c r="F976" s="186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</row>
    <row r="977" spans="1:26" ht="15.75" customHeight="1">
      <c r="A977" s="185"/>
      <c r="B977" s="185"/>
      <c r="C977" s="185"/>
      <c r="D977" s="185"/>
      <c r="E977" s="186"/>
      <c r="F977" s="186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</row>
    <row r="978" spans="1:26" ht="15.75" customHeight="1">
      <c r="A978" s="185"/>
      <c r="B978" s="185"/>
      <c r="C978" s="185"/>
      <c r="D978" s="185"/>
      <c r="E978" s="186"/>
      <c r="F978" s="186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</row>
    <row r="979" spans="1:26" ht="15.75" customHeight="1">
      <c r="A979" s="185"/>
      <c r="B979" s="185"/>
      <c r="C979" s="185"/>
      <c r="D979" s="185"/>
      <c r="E979" s="186"/>
      <c r="F979" s="186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</row>
    <row r="980" spans="1:26" ht="15.75" customHeight="1">
      <c r="A980" s="185"/>
      <c r="B980" s="185"/>
      <c r="C980" s="185"/>
      <c r="D980" s="185"/>
      <c r="E980" s="186"/>
      <c r="F980" s="186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</row>
    <row r="981" spans="1:26" ht="15.75" customHeight="1">
      <c r="A981" s="185"/>
      <c r="B981" s="185"/>
      <c r="C981" s="185"/>
      <c r="D981" s="185"/>
      <c r="E981" s="186"/>
      <c r="F981" s="186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</row>
    <row r="982" spans="1:26" ht="15.75" customHeight="1">
      <c r="A982" s="185"/>
      <c r="B982" s="185"/>
      <c r="C982" s="185"/>
      <c r="D982" s="185"/>
      <c r="E982" s="186"/>
      <c r="F982" s="186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</row>
    <row r="983" spans="1:26" ht="15.75" customHeight="1">
      <c r="A983" s="185"/>
      <c r="B983" s="185"/>
      <c r="C983" s="185"/>
      <c r="D983" s="185"/>
      <c r="E983" s="186"/>
      <c r="F983" s="186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</row>
    <row r="984" spans="1:26" ht="15.75" customHeight="1">
      <c r="A984" s="185"/>
      <c r="B984" s="185"/>
      <c r="C984" s="185"/>
      <c r="D984" s="185"/>
      <c r="E984" s="186"/>
      <c r="F984" s="186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</row>
    <row r="985" spans="1:26" ht="15.75" customHeight="1">
      <c r="A985" s="185"/>
      <c r="B985" s="185"/>
      <c r="C985" s="185"/>
      <c r="D985" s="185"/>
      <c r="E985" s="186"/>
      <c r="F985" s="186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</row>
    <row r="986" spans="1:26" ht="15.75" customHeight="1">
      <c r="A986" s="185"/>
      <c r="B986" s="185"/>
      <c r="C986" s="185"/>
      <c r="D986" s="185"/>
      <c r="E986" s="186"/>
      <c r="F986" s="186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</row>
    <row r="987" spans="1:26" ht="15.75" customHeight="1">
      <c r="A987" s="185"/>
      <c r="B987" s="185"/>
      <c r="C987" s="185"/>
      <c r="D987" s="185"/>
      <c r="E987" s="186"/>
      <c r="F987" s="186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</row>
    <row r="988" spans="1:26" ht="15.75" customHeight="1">
      <c r="A988" s="185"/>
      <c r="B988" s="185"/>
      <c r="C988" s="185"/>
      <c r="D988" s="185"/>
      <c r="E988" s="186"/>
      <c r="F988" s="186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</row>
    <row r="989" spans="1:26" ht="15.75" customHeight="1">
      <c r="A989" s="185"/>
      <c r="B989" s="185"/>
      <c r="C989" s="185"/>
      <c r="D989" s="185"/>
      <c r="E989" s="186"/>
      <c r="F989" s="186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</row>
    <row r="990" spans="1:26" ht="15.75" customHeight="1">
      <c r="A990" s="185"/>
      <c r="B990" s="185"/>
      <c r="C990" s="185"/>
      <c r="D990" s="185"/>
      <c r="E990" s="186"/>
      <c r="F990" s="186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</row>
    <row r="991" spans="1:26" ht="15.75" customHeight="1">
      <c r="A991" s="185"/>
      <c r="B991" s="185"/>
      <c r="C991" s="185"/>
      <c r="D991" s="185"/>
      <c r="E991" s="186"/>
      <c r="F991" s="186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</row>
    <row r="992" spans="1:26" ht="15.75" customHeight="1">
      <c r="A992" s="185"/>
      <c r="B992" s="185"/>
      <c r="C992" s="185"/>
      <c r="D992" s="185"/>
      <c r="E992" s="186"/>
      <c r="F992" s="186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</row>
    <row r="993" spans="1:26" ht="15.75" customHeight="1">
      <c r="A993" s="185"/>
      <c r="B993" s="185"/>
      <c r="C993" s="185"/>
      <c r="D993" s="185"/>
      <c r="E993" s="186"/>
      <c r="F993" s="186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</row>
    <row r="994" spans="1:26" ht="15.75" customHeight="1">
      <c r="A994" s="185"/>
      <c r="B994" s="185"/>
      <c r="C994" s="185"/>
      <c r="D994" s="185"/>
      <c r="E994" s="186"/>
      <c r="F994" s="186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</row>
    <row r="995" spans="1:26" ht="15.75" customHeight="1">
      <c r="A995" s="185"/>
      <c r="B995" s="185"/>
      <c r="C995" s="185"/>
      <c r="D995" s="185"/>
      <c r="E995" s="186"/>
      <c r="F995" s="186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</row>
    <row r="996" spans="1:26" ht="15.75" customHeight="1">
      <c r="A996" s="185"/>
      <c r="B996" s="185"/>
      <c r="C996" s="185"/>
      <c r="D996" s="185"/>
      <c r="E996" s="186"/>
      <c r="F996" s="186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</row>
    <row r="997" spans="1:26" ht="15.75" customHeight="1">
      <c r="A997" s="185"/>
      <c r="B997" s="185"/>
      <c r="C997" s="185"/>
      <c r="D997" s="185"/>
      <c r="E997" s="186"/>
      <c r="F997" s="186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</row>
    <row r="998" spans="1:26" ht="15.75" customHeight="1">
      <c r="A998" s="185"/>
      <c r="B998" s="185"/>
      <c r="C998" s="185"/>
      <c r="D998" s="185"/>
      <c r="E998" s="186"/>
      <c r="F998" s="186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</row>
    <row r="999" spans="1:26" ht="15.75" customHeight="1">
      <c r="A999" s="185"/>
      <c r="B999" s="185"/>
      <c r="C999" s="185"/>
      <c r="D999" s="185"/>
      <c r="E999" s="186"/>
      <c r="F999" s="186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</row>
    <row r="1000" spans="1:26" ht="15.75" customHeight="1">
      <c r="A1000" s="185"/>
      <c r="B1000" s="185"/>
      <c r="C1000" s="185"/>
      <c r="D1000" s="185"/>
      <c r="E1000" s="186"/>
      <c r="F1000" s="186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</row>
  </sheetData>
  <autoFilter ref="A1:P140" xr:uid="{00000000-0009-0000-0000-000006000000}"/>
  <conditionalFormatting sqref="B163">
    <cfRule type="notContainsBlanks" dxfId="0" priority="1">
      <formula>LEN(TRIM(B163))&gt;0</formula>
    </cfRule>
  </conditionalFormatting>
  <dataValidations count="4">
    <dataValidation type="list" allowBlank="1" showErrorMessage="1" sqref="E2:E158" xr:uid="{00000000-0002-0000-0600-000000000000}">
      <formula1>"Mawelah South,Mawelah North,Al Khoudh,Sur Al Hadid,Mabelah South,Mabelah North,Seih Al Ahmer,Al Amrat,Al Hail South,Hail Al Awamier South,Al Fulej,Al Khoudh village,Halban,Barka,Healat Al Nasir,Wadi Al Lawami,Al Yousuf ,Falaj Al Sham"</formula1>
    </dataValidation>
    <dataValidation type="list" allowBlank="1" showErrorMessage="1" sqref="G2:G158" xr:uid="{00000000-0002-0000-0600-000001000000}">
      <formula1>"Active,In-active,Completed,Stopped,Final visit,Not started"</formula1>
    </dataValidation>
    <dataValidation type="list" allowBlank="1" showErrorMessage="1" sqref="C2:C158" xr:uid="{00000000-0002-0000-0600-000002000000}">
      <formula1>"2020,2021,2022,2023,2024,2025"</formula1>
    </dataValidation>
    <dataValidation type="list" allowBlank="1" showErrorMessage="1" sqref="F2:F158" xr:uid="{00000000-0002-0000-0600-000003000000}">
      <formula1>"Montly,Lumpsum,Visit basis"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Invoices 2025</vt:lpstr>
      <vt:lpstr>Invoices 2024</vt:lpstr>
      <vt:lpstr>Projects list</vt:lpstr>
      <vt:lpstr>Mr.Rajesh Supervision Projects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berooz DG</cp:lastModifiedBy>
  <dcterms:modified xsi:type="dcterms:W3CDTF">2026-08-12T06:29:42Z</dcterms:modified>
</cp:coreProperties>
</file>