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1aaf4f89f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Accounts" sheetId="1" r:id="R2ff154e036a3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49647D"/>
      <x:name val="Carlito"/>
    </x:font>
    <x:font>
      <x:b/>
      <x:sz val="11"/>
      <x:color rgb="FF29435C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0F6"/>
      </x:patternFill>
    </x:fill>
    <x:fill>
      <x:patternFill patternType="solid">
        <x:fgColor rgb="FFF7F9FC"/>
      </x:patternFill>
    </x:fill>
    <x:fill>
      <x:patternFill patternType="solid">
        <x:fgColor rgb="FFDDEBF7"/>
      </x:patternFill>
    </x:fill>
    <x:fill>
      <x:patternFill patternType="solid">
        <x:fgColor rgb="FF1E5A78"/>
      </x:patternFill>
    </x:fill>
  </x:fills>
  <x:borders count="2">
    <x:border/>
    <x:border>
      <x:left style="thin">
        <x:color rgb="FFC8D4E0"/>
      </x:left>
      <x:right style="thin">
        <x:color rgb="FFC8D4E0"/>
      </x:right>
      <x:top style="thin">
        <x:color rgb="FFC8D4E0"/>
      </x:top>
      <x:bottom style="thin">
        <x:color rgb="FFC8D4E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19713D"/>
      </x:font>
      <x:fill>
        <x:patternFill patternType="solid">
          <x:bgColor rgb="FFE8F5EC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78f7024294367" /><Relationship Type="http://schemas.openxmlformats.org/officeDocument/2006/relationships/theme" Target="/xl/theme/theme1.xml" Id="R69d87ea9833f4d90" /><Relationship Type="http://schemas.openxmlformats.org/officeDocument/2006/relationships/sharedStrings" Target="/xl/sharedStrings.xml" Id="R1e335393c3254ba5" /><Relationship Type="http://schemas.openxmlformats.org/officeDocument/2006/relationships/worksheet" Target="/xl/worksheets/sheet1.xml" Id="R2ff154e036a349e0" /></Relationships>
</file>

<file path=xl/tables/table1.xml><?xml version="1.0" encoding="utf-8"?>
<x:table xmlns:x="http://schemas.openxmlformats.org/spreadsheetml/2006/main" id="1" name="UserAccountsTable" displayName="UserAccountsTable" ref="A7:E26" headerRowCount="1" totalsRowCount="0" totalsRowShown="0">
  <x:autoFilter ref="A7:E26"/>
  <x:tableColumns count="5">
    <x:tableColumn id="1" name="#"/>
    <x:tableColumn id="2" name="Name"/>
    <x:tableColumn id="3" name="Email"/>
    <x:tableColumn id="4" name="Last Sign-in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0c4ccccc7540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34" hidden="0" customWidth="1"/>
    <x:col min="4" max="4" width="22" hidden="0" customWidth="1"/>
    <x:col min="5" max="5" width="34" hidden="0" customWidth="1"/>
  </x:cols>
  <x:sheetData>
    <x:row r="1" ht="34" customHeight="1">
      <x:c r="A1" s="4" t="str">
        <x:v>Bonyan EC — User Accounts</x:v>
      </x:c>
      <x:c r="B1" s="4"/>
      <x:c r="C1" s="4"/>
      <x:c r="D1" s="4"/>
      <x:c r="E1" s="4"/>
    </x:row>
    <x:row r="2" ht="24" customHeight="1">
      <x:c r="A2" s="8" t="str">
        <x:v>Account list and last sign-in status</x:v>
      </x:c>
      <x:c r="B2" s="8"/>
      <x:c r="C2" s="8"/>
      <x:c r="D2" s="8"/>
      <x:c r="E2" s="8"/>
    </x:row>
    <x:row r="4" ht="25" customHeight="1">
      <x:c r="A4" s="13" t="str">
        <x:v>Total Accounts</x:v>
      </x:c>
      <x:c r="B4" s="13"/>
      <x:c r="C4" s="13" t="str">
        <x:v>Signed In Recently</x:v>
      </x:c>
      <x:c r="D4" s="13" t="str">
        <x:v>Never Signed In</x:v>
      </x:c>
      <x:c r="E4" s="13" t="str">
        <x:v>Status Not Provided</x:v>
      </x:c>
    </x:row>
    <x:row r="5" ht="25" customHeight="1">
      <x:c r="A5" s="18" t="n">
        <x:f>COUNTA(B8:B26)</x:f>
        <x:v>19</x:v>
      </x:c>
      <x:c r="B5" s="18"/>
      <x:c r="C5" s="18" t="n">
        <x:f>A5-D5-E5</x:f>
        <x:v>10</x:v>
      </x:c>
      <x:c r="D5" s="18" t="n">
        <x:f>COUNTIF(D8:D26,"Never signed in")</x:f>
        <x:v>8</x:v>
      </x:c>
      <x:c r="E5" s="18" t="n">
        <x:f>COUNTBLANK(D8:D26)</x:f>
        <x:v>1</x:v>
      </x:c>
    </x:row>
    <x:row r="7" ht="27" customHeight="1">
      <x:c r="A7" s="22" t="str">
        <x:v>#</x:v>
      </x:c>
      <x:c r="B7" s="22" t="str">
        <x:v>Name</x:v>
      </x:c>
      <x:c r="C7" s="22" t="str">
        <x:v>Email</x:v>
      </x:c>
      <x:c r="D7" s="22" t="str">
        <x:v>Last Sign-in</x:v>
      </x:c>
      <x:c r="E7" s="22" t="str">
        <x:v>Notes</x:v>
      </x:c>
    </x:row>
    <x:row r="8" ht="24" customHeight="1">
      <x:c r="A8" s="23" t="n">
        <x:v>1</x:v>
      </x:c>
      <x:c r="B8" t="str">
        <x:v>Abisekh Durai</x:v>
      </x:c>
      <x:c r="C8" t="str">
        <x:v>abisekh.d@bonyanec.com</x:v>
      </x:c>
      <x:c r="D8" s="23" t="str">
        <x:v>3 days ago</x:v>
      </x:c>
      <x:c r="E8" s="24" t="str"/>
    </x:row>
    <x:row r="9" ht="24" customHeight="1">
      <x:c r="A9" s="23" t="n">
        <x:v>2</x:v>
      </x:c>
      <x:c r="B9" t="str">
        <x:v>Agha Shahid</x:v>
      </x:c>
      <x:c r="C9" t="str">
        <x:v>agha.sh@bonyanec.com</x:v>
      </x:c>
      <x:c r="D9" s="23" t="str">
        <x:v>4 days ago</x:v>
      </x:c>
      <x:c r="E9" s="24" t="str"/>
    </x:row>
    <x:row r="10" ht="24" customHeight="1">
      <x:c r="A10" s="23" t="n">
        <x:v>3</x:v>
      </x:c>
      <x:c r="B10" t="str">
        <x:v>Ahmed Shuaili</x:v>
      </x:c>
      <x:c r="C10" t="str">
        <x:v>ahmed.s@bonyanec.com</x:v>
      </x:c>
      <x:c r="D10" s="23" t="str">
        <x:v>Never signed in</x:v>
      </x:c>
      <x:c r="E10" s="24" t="str"/>
    </x:row>
    <x:row r="11" ht="24" customHeight="1">
      <x:c r="A11" s="23" t="n">
        <x:v>4</x:v>
      </x:c>
      <x:c r="B11" t="str">
        <x:v>Ahsan Ali</x:v>
      </x:c>
      <x:c r="C11" t="str">
        <x:v>ahsan.a@bonyanec.com</x:v>
      </x:c>
      <x:c r="D11" s="23" t="str">
        <x:v>Never signed in</x:v>
      </x:c>
      <x:c r="E11" s="24" t="str"/>
    </x:row>
    <x:row r="12" ht="24" customHeight="1">
      <x:c r="A12" s="23" t="n">
        <x:v>5</x:v>
      </x:c>
      <x:c r="B12" t="str">
        <x:v>Atheesh Nadesan</x:v>
      </x:c>
      <x:c r="C12" t="str">
        <x:v>atheesh.n@bonyanec.com</x:v>
      </x:c>
      <x:c r="D12" s="23" t="str">
        <x:v>Never signed in</x:v>
      </x:c>
      <x:c r="E12" s="24" t="str"/>
    </x:row>
    <x:row r="13" ht="24" customHeight="1">
      <x:c r="A13" s="23" t="n">
        <x:v>6</x:v>
      </x:c>
      <x:c r="B13" t="str">
        <x:v>IT</x:v>
      </x:c>
      <x:c r="C13" t="str">
        <x:v>it@bonyanec.com</x:v>
      </x:c>
      <x:c r="D13" s="23" t="str">
        <x:v>Never signed in</x:v>
      </x:c>
      <x:c r="E13" s="24" t="str"/>
    </x:row>
    <x:row r="14" ht="24" customHeight="1">
      <x:c r="A14" s="23" t="n">
        <x:v>7</x:v>
      </x:c>
      <x:c r="B14" t="str">
        <x:v>Jefrin Monish</x:v>
      </x:c>
      <x:c r="C14" t="str">
        <x:v>jefrin.m@bonyanec.com</x:v>
      </x:c>
      <x:c r="D14" s="23" t="str">
        <x:v>Never signed in</x:v>
      </x:c>
      <x:c r="E14" s="24" t="str"/>
    </x:row>
    <x:row r="15" ht="24" customHeight="1">
      <x:c r="A15" s="23" t="n">
        <x:v>8</x:v>
      </x:c>
      <x:c r="B15" t="str">
        <x:v>Jerin Mosi</x:v>
      </x:c>
      <x:c r="C15" t="str">
        <x:v>jerin.mo@bonyanec.com</x:v>
      </x:c>
      <x:c r="D15" s="23" t="str">
        <x:v>4 days ago</x:v>
      </x:c>
      <x:c r="E15" s="24" t="str"/>
    </x:row>
    <x:row r="16" ht="24" customHeight="1">
      <x:c r="A16" s="23" t="n">
        <x:v>9</x:v>
      </x:c>
      <x:c r="B16" t="str">
        <x:v>Jothish Arumuham Pillai</x:v>
      </x:c>
      <x:c r="C16" t="str">
        <x:v>jothish.a@bonyanec.com</x:v>
      </x:c>
      <x:c r="D16" s="23" t="str">
        <x:v>3 days ago</x:v>
      </x:c>
      <x:c r="E16" s="24" t="str"/>
    </x:row>
    <x:row r="17" ht="24" customHeight="1">
      <x:c r="A17" s="23" t="n">
        <x:v>10</x:v>
      </x:c>
      <x:c r="B17" t="str">
        <x:v>Mohammed Ibrahim Mirkar</x:v>
      </x:c>
      <x:c r="C17" t="str">
        <x:v>mohammed.m@bonyanec.com</x:v>
      </x:c>
      <x:c r="D17" s="23" t="str">
        <x:v>4 days ago</x:v>
      </x:c>
      <x:c r="E17" s="24" t="str"/>
    </x:row>
    <x:row r="18" ht="24" customHeight="1">
      <x:c r="A18" s="23" t="n">
        <x:v>11</x:v>
      </x:c>
      <x:c r="B18" t="str">
        <x:v>Ola arch</x:v>
      </x:c>
      <x:c r="C18" t="str">
        <x:v>ola.a@bonyanec.com</x:v>
      </x:c>
      <x:c r="D18" s="23" t="str">
        <x:v>Never signed in</x:v>
      </x:c>
      <x:c r="E18" s="24" t="str"/>
    </x:row>
    <x:row r="19" ht="24" customHeight="1">
      <x:c r="A19" s="23" t="n">
        <x:v>12</x:v>
      </x:c>
      <x:c r="B19" t="str">
        <x:v>Puvanesh Ravi</x:v>
      </x:c>
      <x:c r="C19" t="str">
        <x:v>puvanesh.r@bonyanec.com</x:v>
      </x:c>
      <x:c r="D19" s="23" t="str">
        <x:v>3 days ago</x:v>
      </x:c>
      <x:c r="E19" s="24" t="str"/>
    </x:row>
    <x:row r="20" ht="24" customHeight="1">
      <x:c r="A20" s="23" t="n">
        <x:v>13</x:v>
      </x:c>
      <x:c r="B20" t="str">
        <x:v>Rajesh Asirvatham</x:v>
      </x:c>
      <x:c r="C20" t="str">
        <x:v>rajesh.a@bonyanec.com</x:v>
      </x:c>
      <x:c r="D20" s="23" t="str">
        <x:v>3 days ago</x:v>
      </x:c>
      <x:c r="E20" s="24" t="str"/>
    </x:row>
    <x:row r="21" ht="24" customHeight="1">
      <x:c r="A21" s="23" t="n">
        <x:v>14</x:v>
      </x:c>
      <x:c r="B21" t="str">
        <x:v>Salman Kh</x:v>
      </x:c>
      <x:c r="C21" t="str">
        <x:v>salman.kh@bonyanec.com</x:v>
      </x:c>
      <x:c r="D21" s="23" t="str">
        <x:v>3 days ago</x:v>
      </x:c>
      <x:c r="E21" s="24" t="str"/>
    </x:row>
    <x:row r="22" ht="24" customHeight="1">
      <x:c r="A22" s="23" t="n">
        <x:v>15</x:v>
      </x:c>
      <x:c r="B22" t="str">
        <x:v>Siva Murukesn</x:v>
      </x:c>
      <x:c r="C22" t="str">
        <x:v>siva.m@bonyanec.com</x:v>
      </x:c>
      <x:c r="D22" s="23" t="str">
        <x:v>4 days ago</x:v>
      </x:c>
      <x:c r="E22" s="24" t="str"/>
    </x:row>
    <x:row r="23" ht="24" customHeight="1">
      <x:c r="A23" s="23" t="n">
        <x:v>16</x:v>
      </x:c>
      <x:c r="B23" t="str">
        <x:v>Stelin Stephen</x:v>
      </x:c>
      <x:c r="C23" t="str">
        <x:v>stelin.s@bonyanec.com</x:v>
      </x:c>
      <x:c r="D23" s="23" t="str">
        <x:v>Never signed in</x:v>
      </x:c>
      <x:c r="E23" s="24" t="str"/>
    </x:row>
    <x:row r="24" ht="24" customHeight="1">
      <x:c r="A24" s="23" t="n">
        <x:v>17</x:v>
      </x:c>
      <x:c r="B24" t="str">
        <x:v>Info</x:v>
      </x:c>
      <x:c r="C24" t="str">
        <x:v>info@bonyanec.com</x:v>
      </x:c>
      <x:c r="D24" s="23" t="str">
        <x:v>4 days ago</x:v>
      </x:c>
      <x:c r="E24" s="24" t="str">
        <x:v>+1 (as supplied in source)</x:v>
      </x:c>
    </x:row>
    <x:row r="25" ht="24" customHeight="1">
      <x:c r="A25" s="23" t="n">
        <x:v>18</x:v>
      </x:c>
      <x:c r="B25" t="str">
        <x:v>Thibin lal</x:v>
      </x:c>
      <x:c r="C25" t="str">
        <x:v>thibin.l@bonyanec.com</x:v>
      </x:c>
      <x:c r="D25" s="23" t="str">
        <x:v>Never signed in</x:v>
      </x:c>
      <x:c r="E25" s="24" t="str"/>
    </x:row>
    <x:row r="26" ht="24" customHeight="1">
      <x:c r="A26" s="23" t="n">
        <x:v>19</x:v>
      </x:c>
      <x:c r="B26" t="str">
        <x:v>Yasir Salim Hamed Al Aufi</x:v>
      </x:c>
      <x:c r="C26" t="str">
        <x:v>yaufi@bonyanec.com</x:v>
      </x:c>
      <x:c r="D26" s="23" t="str"/>
      <x:c r="E26" s="24" t="str">
        <x:v>Sign-in status not provided in source</x:v>
      </x:c>
    </x:row>
  </x:sheetData>
  <x:mergeCells>
    <x:mergeCell ref="A1:E1"/>
    <x:mergeCell ref="A2:E2"/>
    <x:mergeCell ref="A4:B4"/>
    <x:mergeCell ref="A5:B5"/>
  </x:mergeCells>
  <x:conditionalFormatting sqref="D8:D26">
    <x:cfRule type="containsText" dxfId="0" priority="1" operator="containsText" text="Never signed in"/>
    <x:cfRule type="containsText" dxfId="1" priority="2" operator="containsText" text="days ago"/>
    <x:cfRule type="expression" dxfId="2" priority="3">
      <x:formula>D8=""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0c4ccccc754038"/>
  </x:tableParts>
</x:worksheet>
</file>